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xr:revisionPtr revIDLastSave="1" documentId="11_7F651EE050F3360B94F63A5DBDBAF4EAF695FDCB" xr6:coauthVersionLast="47" xr6:coauthVersionMax="47" xr10:uidLastSave="{7A41ECCB-B6F7-47D8-83EA-2CEF2AC10D20}"/>
  <bookViews>
    <workbookView xWindow="0" yWindow="0" windowWidth="16384" windowHeight="8192" tabRatio="500" activeTab="4" xr2:uid="{00000000-000D-0000-FFFF-FFFF00000000}"/>
  </bookViews>
  <sheets>
    <sheet name="0_Scorecard" sheetId="1" r:id="rId1"/>
    <sheet name="Instructions" sheetId="2" r:id="rId2"/>
    <sheet name="1_Generation_Inventory" sheetId="3" r:id="rId3"/>
    <sheet name="2_Collection_Log" sheetId="4" r:id="rId4"/>
    <sheet name="3_Recycling_Infrastructure" sheetId="5" r:id="rId5"/>
    <sheet name="4_Compliance_Tracker" sheetId="6" r:id="rId6"/>
    <sheet name="5_Informal_Sector_Hotspots" sheetId="7" r:id="rId7"/>
    <sheet name="6_Env_Health_Monitoring" sheetId="8" r:id="rId8"/>
    <sheet name="7_Awareness_Programs" sheetId="9" r:id="rId9"/>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0" i="9" l="1"/>
  <c r="C29" i="9"/>
  <c r="C28" i="9"/>
  <c r="C30" i="8"/>
  <c r="C29" i="8"/>
  <c r="C28" i="8"/>
  <c r="C31" i="7"/>
  <c r="C30" i="7"/>
  <c r="C29" i="7"/>
  <c r="C28" i="7"/>
  <c r="C33" i="6"/>
  <c r="C32" i="6"/>
  <c r="C31" i="6"/>
  <c r="C30" i="6"/>
  <c r="C29" i="6"/>
  <c r="C28" i="6"/>
  <c r="F28" i="5"/>
  <c r="E28" i="5"/>
  <c r="D28" i="5"/>
  <c r="G33" i="4"/>
  <c r="F33" i="4"/>
  <c r="E33" i="4"/>
  <c r="D33" i="4"/>
  <c r="I33" i="3"/>
  <c r="H33" i="3"/>
  <c r="G33" i="3"/>
  <c r="F33" i="3"/>
  <c r="E33" i="3"/>
  <c r="D33" i="3"/>
  <c r="C33" i="3"/>
  <c r="J31" i="3"/>
  <c r="C31" i="4" s="1"/>
  <c r="J30" i="3"/>
  <c r="C30" i="4" s="1"/>
  <c r="J29" i="3"/>
  <c r="C29" i="4" s="1"/>
  <c r="J28" i="3"/>
  <c r="C28" i="4" s="1"/>
  <c r="J27" i="3"/>
  <c r="C27" i="4" s="1"/>
  <c r="J26" i="3"/>
  <c r="C26" i="4" s="1"/>
  <c r="J25" i="3"/>
  <c r="C25" i="4" s="1"/>
  <c r="J24" i="3"/>
  <c r="C24" i="4" s="1"/>
  <c r="J23" i="3"/>
  <c r="C23" i="4" s="1"/>
  <c r="J22" i="3"/>
  <c r="C22" i="4" s="1"/>
  <c r="J21" i="3"/>
  <c r="C21" i="4" s="1"/>
  <c r="J20" i="3"/>
  <c r="C20" i="4" s="1"/>
  <c r="J19" i="3"/>
  <c r="C19" i="4" s="1"/>
  <c r="J18" i="3"/>
  <c r="C18" i="4" s="1"/>
  <c r="J17" i="3"/>
  <c r="C17" i="4" s="1"/>
  <c r="J16" i="3"/>
  <c r="C16" i="4" s="1"/>
  <c r="J15" i="3"/>
  <c r="C15" i="4" s="1"/>
  <c r="J14" i="3"/>
  <c r="C14" i="4" s="1"/>
  <c r="J13" i="3"/>
  <c r="C13" i="4" s="1"/>
  <c r="J12" i="3"/>
  <c r="C12" i="4" s="1"/>
  <c r="J11" i="3"/>
  <c r="C11" i="4" s="1"/>
  <c r="J10" i="3"/>
  <c r="C10" i="4" s="1"/>
  <c r="J9" i="3"/>
  <c r="C9" i="4" s="1"/>
  <c r="J8" i="3"/>
  <c r="C8" i="4" s="1"/>
  <c r="J7" i="3"/>
  <c r="C7" i="4" s="1"/>
  <c r="J6" i="3"/>
  <c r="D17" i="1"/>
  <c r="F16" i="1"/>
  <c r="G16" i="1" s="1"/>
  <c r="H16" i="1" s="1"/>
  <c r="F15" i="1"/>
  <c r="G15" i="1" s="1"/>
  <c r="H15" i="1" s="1"/>
  <c r="F14" i="1"/>
  <c r="G14" i="1" s="1"/>
  <c r="H14" i="1" s="1"/>
  <c r="F13" i="1"/>
  <c r="G13" i="1" s="1"/>
  <c r="H13" i="1" s="1"/>
  <c r="F10" i="1"/>
  <c r="G10" i="1" s="1"/>
  <c r="H10" i="1" s="1"/>
  <c r="C6" i="4" l="1"/>
  <c r="C33" i="4" s="1"/>
  <c r="J33" i="3"/>
  <c r="F12" i="1" l="1"/>
  <c r="G12" i="1" s="1"/>
  <c r="H12" i="1" s="1"/>
  <c r="F11" i="1"/>
  <c r="G11" i="1" s="1"/>
  <c r="H11" i="1" s="1"/>
  <c r="H17" i="1" s="1"/>
  <c r="F5" i="1" l="1"/>
  <c r="D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 authorId="0" shapeId="0" xr:uid="{00000000-0006-0000-0200-000001000000}">
      <text>
        <r>
          <rPr>
            <sz val="10"/>
            <rFont val="Arial"/>
            <family val="2"/>
          </rPr>
          <t>DATA METHODOLOGY: Population = Census 2011 (per AP Govt. 26-district reorganisation, 2022). CPCB does not publish district-wise or category-wise e-waste generation for any state. Total generation is ESTIMATED: (national per-capita e-waste, CPCB FY2023-24 data) x 1.4 (uplift factor, since AP is officially India's 3rd-highest e-waste generating state) x district population. Category split (IT&amp;Telecom 35%/Consumer Electronics 28%/Large&amp;Small Equip 18%/Lighting 5%/Batteries 9%/Other 5%) is an illustrative allocation based on typical national e-waste composition patterns, not an official CPCB breakdown. Source: PIB Press Release (Rajya Sabha reply, 16-Dec-2024); Wikipedia 'Electronic waste in India'.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 authorId="0" shapeId="0" xr:uid="{00000000-0006-0000-0300-000001000000}">
      <text>
        <r>
          <rPr>
            <sz val="10"/>
            <rFont val="Arial"/>
            <family val="2"/>
          </rPr>
          <t>METHODOLOGY: Collected (kg) = estimated at 62% of generated (CPCB-reported national formal collection/dismantle/recycle rate, FY2023-24 = 61.94%, applied as a state-level proxy). EPR Collection Target = 60% of generated (official EPR phase-wise target for FY2023-24 &amp; FY2024-25 under E-Waste (Management) Rules, 2022, Schedule IV). EPR Achieved assumed at 62% (national avg). Registered Collection Centers = illustrative estimate (4 per million population); CPCB/SPCB does not publish an official district-wise count.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 authorId="0" shapeId="0" xr:uid="{00000000-0006-0000-0400-000001000000}">
      <text>
        <r>
          <rPr>
            <sz val="10"/>
            <rFont val="Arial"/>
            <family val="2"/>
          </rPr>
          <t>REAL DATA: recycler names, districts, and installed capacities (MTA) are from CPCB's official list of SPCB-authorised e-waste dismantlers/recyclers (as on 08-06-2023), accessed via ndmc.gov.in. 'Quantity Processed' and 'Material Recovery Rate' are NOT publicly disclosed per-facility, so they are ESTIMATED (70% of installed capacity; 80% recovery rate, typical of formal recyclers) and should be verified with APPCB / CPCB before being cited as fact.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 authorId="0" shapeId="0" xr:uid="{00000000-0006-0000-0500-000001000000}">
      <text>
        <r>
          <rPr>
            <sz val="10"/>
            <rFont val="Arial"/>
            <family val="2"/>
          </rPr>
          <t>CPCB/APPCB do not publicly publish a named, per-producer EPR compliance register. Entries here are ILLUSTRATIVE placeholders (generic role descriptions, not real companies) so the scorecard formulas have representative data to compute against. Real compliance % for India overall: EPR recycling obligation target = 60% for FY2023-24 &amp; FY2024-25 (E-Waste Mgmt Rules 2022, Schedule IV).</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 authorId="0" shapeId="0" xr:uid="{00000000-0006-0000-0600-000001000000}">
      <text>
        <r>
          <rPr>
            <sz val="10"/>
            <rFont val="Arial"/>
            <family val="2"/>
          </rPr>
          <t>No public register of named informal e-waste hotspots/workers exists for Andhra Pradesh. All entries are ILLUSTRATIVE placeholders, generically named by district, so the scorecard has representative data. Do not present these as verified SPCB records without checking with APPCB.</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 authorId="0" shapeId="0" xr:uid="{00000000-0006-0000-0700-000001000000}">
      <text>
        <r>
          <rPr>
            <sz val="10"/>
            <rFont val="Arial"/>
            <family val="2"/>
          </rPr>
          <t>No public monitoring log exists for named AP hotspots. Entries are ILLUSTRATIVE placeholders. NOTE: This sheet's formulas (row 28-30) reference columns F/G instead of G/H — appears to be an off-by-one in the original template (compare header row 5 vs total-row formulas). Flagged for your professor/TA rather than silently changed.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 authorId="0" shapeId="0" xr:uid="{00000000-0006-0000-0800-000001000000}">
      <text>
        <r>
          <rPr>
            <sz val="10"/>
            <rFont val="Arial"/>
            <family val="2"/>
          </rPr>
          <t>No public log of named AP e-waste awareness campaigns exists at this granularity. Entries are ILLUSTRATIVE placeholders. NOTE: this sheet's 'Collection Drives' total formula (row 29) checks column D (Date) instead of column E (Type) — appears to be an off-by-one in the original template, flagged rather than silently changed.</t>
        </r>
      </text>
    </comment>
  </commentList>
</comments>
</file>

<file path=xl/sharedStrings.xml><?xml version="1.0" encoding="utf-8"?>
<sst xmlns="http://schemas.openxmlformats.org/spreadsheetml/2006/main" count="398" uniqueCount="211">
  <si>
    <t>State E-Waste Management Scorecard</t>
  </si>
  <si>
    <t>Live score out of 100, calculated from the 7 data sheets. Set benchmarks in the yellow 'Target/Benchmark' cells.</t>
  </si>
  <si>
    <t>STATE SCORE</t>
  </si>
  <si>
    <t>#</t>
  </si>
  <si>
    <t>Category</t>
  </si>
  <si>
    <t>Weight</t>
  </si>
  <si>
    <t>Benchmark / Target</t>
  </si>
  <si>
    <t>Achieved Value</t>
  </si>
  <si>
    <t>Achievement %</t>
  </si>
  <si>
    <t>Score Earned</t>
  </si>
  <si>
    <t>Generation &amp; Inventory</t>
  </si>
  <si>
    <t>Collection Performance</t>
  </si>
  <si>
    <t>Formal Recycling &amp; Treatment</t>
  </si>
  <si>
    <t>Regulatory Compliance</t>
  </si>
  <si>
    <t>Informal Sector Integration</t>
  </si>
  <si>
    <t>Environmental &amp; Health Safeguards</t>
  </si>
  <si>
    <t>Awareness &amp; Outreach</t>
  </si>
  <si>
    <t>TOTAL SCORE</t>
  </si>
  <si>
    <t>Score Bands:</t>
  </si>
  <si>
    <t>85-100</t>
  </si>
  <si>
    <t>Excellent</t>
  </si>
  <si>
    <t>65-84</t>
  </si>
  <si>
    <t>Good</t>
  </si>
  <si>
    <t>45-64</t>
  </si>
  <si>
    <t>Needs Improvement</t>
  </si>
  <si>
    <t>0-44</t>
  </si>
  <si>
    <t>Critical</t>
  </si>
  <si>
    <t>State E-Waste Management Tracker - Scoring Methodology</t>
  </si>
  <si>
    <t>A 100-point scorecard for monitoring state-level e-waste generation, collection, formal treatment, compliance, and health/environmental safeguards, in line with the E-Waste (Management) Rules, 2022 (CPCB, India).</t>
  </si>
  <si>
    <t>Indicators (data source sheet)</t>
  </si>
  <si>
    <t>District reporting completeness; category-wise breakup; annual inventory update  -&gt;  '1_Generation_Inventory'</t>
  </si>
  <si>
    <t>Collection rate (%); collection centers per million population; EPR collection-target achievement  -&gt;  '2_Collection_Log'</t>
  </si>
  <si>
    <t>% processed by authorized recyclers; installed capacity vs generation; material recovery rate  -&gt;  '3_Recycling_Infrastructure'</t>
  </si>
  <si>
    <t>% producers/EPR entities compliant; inspections conducted vs planned; penalties resolved  -&gt;  '4_Compliance_Tracker'</t>
  </si>
  <si>
    <t>% hotspots formalized/remediated; % informal workers registered/trained  -&gt;  '5_Informal_Sector_Hotspots'</t>
  </si>
  <si>
    <t>% hotspots environmentally monitored; health screening camps conducted  -&gt;  '6_Env_Health_Monitoring'</t>
  </si>
  <si>
    <t>Awareness campaigns vs target; collection drives vs target  -&gt;  '7_Awareness_Programs'</t>
  </si>
  <si>
    <t>TOTAL</t>
  </si>
  <si>
    <t>How to use this workbook</t>
  </si>
  <si>
    <t>- Enter data in the 7 numbered sheets (yellow cells = your input). Each sheet has one grey example row - replace/delete it.</t>
  </si>
  <si>
    <t>- Set your benchmarks/targets on the '0_Scorecard' sheet (yellow cells) - e.g. collection centers per million population, EPR targets, inspection/campaign targets.</t>
  </si>
  <si>
    <t>- The '0_Scorecard' sheet pulls live figures from all 7 sheets and computes the state's score out of 100 automatically. Do not overwrite formula cells.</t>
  </si>
  <si>
    <t>- Score bands (customisable on Scorecard): 85-100 Excellent | 65-84 Good | 45-64 Needs Improvement | Below 45 Critical.</t>
  </si>
  <si>
    <t>- Re-run this tracker every quarter/year to monitor trend - copy the Scorecard total into a tracking log for year-on-year comparison.</t>
  </si>
  <si>
    <t>Generation Inventory</t>
  </si>
  <si>
    <t>One row per district. Category-wise breakup based on E-Waste (Management) Rules, 2022, Schedule I (simplified).</t>
  </si>
  <si>
    <t>District</t>
  </si>
  <si>
    <t>Population</t>
  </si>
  <si>
    <t>IT &amp; Telecom (kg)</t>
  </si>
  <si>
    <t>Consumer Electrical &amp; Electronics (kg)</t>
  </si>
  <si>
    <t>Large &amp; Small Equipment (kg)</t>
  </si>
  <si>
    <t>Lighting Equipment (kg)</t>
  </si>
  <si>
    <t>Batteries (kg)</t>
  </si>
  <si>
    <t>Other (kg)</t>
  </si>
  <si>
    <t>Total Generated (kg)</t>
  </si>
  <si>
    <t>Date Last Updated</t>
  </si>
  <si>
    <t>Srikakulam</t>
  </si>
  <si>
    <t>31-03-2025 (est.)</t>
  </si>
  <si>
    <t>Parvathipuram Manyam</t>
  </si>
  <si>
    <t>Vizianagaram</t>
  </si>
  <si>
    <t>Visakhapatnam</t>
  </si>
  <si>
    <t>Alluri Sitharama Raju</t>
  </si>
  <si>
    <t>Anakapalli</t>
  </si>
  <si>
    <t>Kakinada</t>
  </si>
  <si>
    <t>East Godavari</t>
  </si>
  <si>
    <t>Dr. B.R. Ambedkar Konaseema</t>
  </si>
  <si>
    <t>Eluru</t>
  </si>
  <si>
    <t>West Godavari</t>
  </si>
  <si>
    <t>NTR</t>
  </si>
  <si>
    <t>Krishna</t>
  </si>
  <si>
    <t>Palnadu</t>
  </si>
  <si>
    <t>Guntur</t>
  </si>
  <si>
    <t>Bapatla</t>
  </si>
  <si>
    <t>Prakasam</t>
  </si>
  <si>
    <t>Sri Potti Sriramulu Nellore</t>
  </si>
  <si>
    <t>Kurnool</t>
  </si>
  <si>
    <t>Nandyal</t>
  </si>
  <si>
    <t>Ananthapuramu</t>
  </si>
  <si>
    <t>Sri Sathya Sai</t>
  </si>
  <si>
    <t>YSR Kadapa</t>
  </si>
  <si>
    <t>Annamayya</t>
  </si>
  <si>
    <t>Tirupati</t>
  </si>
  <si>
    <t>Chittoor</t>
  </si>
  <si>
    <t>STATE TOTAL</t>
  </si>
  <si>
    <t>Collection Log</t>
  </si>
  <si>
    <t>One row per district. 'Generated' auto-pulls from Sheet 1 by district name - keep district names identical across sheets.</t>
  </si>
  <si>
    <t>Generated (kg) [from Sheet 1]</t>
  </si>
  <si>
    <t>Collected (kg)</t>
  </si>
  <si>
    <t>Registered Collection Centers</t>
  </si>
  <si>
    <t>EPR Collection Target (kg)</t>
  </si>
  <si>
    <t>EPR Collection Achieved (kg)</t>
  </si>
  <si>
    <t>Remarks</t>
  </si>
  <si>
    <t>Estimated (see Sheet 1 methodology note) — not an official SPCB figure</t>
  </si>
  <si>
    <t>Recycling Infrastructure</t>
  </si>
  <si>
    <t>One row per CPCB/SPCB-authorized recycler or dismantler operating in the state.</t>
  </si>
  <si>
    <t>Recycler / Dismantler Name</t>
  </si>
  <si>
    <t>CPCB/SPCB Authorization No.</t>
  </si>
  <si>
    <t>Installed Capacity (tonnes/yr)</t>
  </si>
  <si>
    <t>Quantity Processed This Year (tonnes)</t>
  </si>
  <si>
    <t>Material Recovery Rate (%)</t>
  </si>
  <si>
    <t>Authorization Valid Till</t>
  </si>
  <si>
    <t>Green Waves Environmental Solution</t>
  </si>
  <si>
    <t>As per CPCB authorised recyclers list (2023)</t>
  </si>
  <si>
    <t>Not publicly disclosed by SPCB</t>
  </si>
  <si>
    <t>Apna Bhoomi E-Waste Management Services</t>
  </si>
  <si>
    <t>Veera Waste Management Systems</t>
  </si>
  <si>
    <t>Binbag Recycling Services Pvt. Ltd.</t>
  </si>
  <si>
    <t>Clean Earth Green Earth Solutions</t>
  </si>
  <si>
    <t>E-Parisaraa Pvt. Ltd.</t>
  </si>
  <si>
    <t>World Scrap Recycling Solutions (P) Ltd. - Unit 1</t>
  </si>
  <si>
    <t>World Scrap Recycling Solutions Pvt. Ltd. - Unit 2</t>
  </si>
  <si>
    <t>Sungeel India Recycling Pvt. Ltd.</t>
  </si>
  <si>
    <t>Ramky ARM Recycling Pvt. Ltd.</t>
  </si>
  <si>
    <t>Compliance Tracker</t>
  </si>
  <si>
    <t>One row per registered producer / EPR entity operating in the state.</t>
  </si>
  <si>
    <t>Producer / EPR Entity</t>
  </si>
  <si>
    <t>EPR Registration No.</t>
  </si>
  <si>
    <t>Compliance Status</t>
  </si>
  <si>
    <t>Inspection Planned (Y/N)</t>
  </si>
  <si>
    <t>Inspection Conducted (Y/N)</t>
  </si>
  <si>
    <t>Penalty / Show-Cause Issued (Y/N)</t>
  </si>
  <si>
    <t>Penalty Resolved (Y/N)</t>
  </si>
  <si>
    <t>Registered Producer 1 (illustrative — large electronics OEM)</t>
  </si>
  <si>
    <t>EPR/ILLUS/0001</t>
  </si>
  <si>
    <t>Compliant</t>
  </si>
  <si>
    <t>Yes</t>
  </si>
  <si>
    <t>No</t>
  </si>
  <si>
    <t>N/A</t>
  </si>
  <si>
    <t>Illustrative (coursework) — not an official SPCB/CPCB record; district-level data of this kind is not published</t>
  </si>
  <si>
    <t>Registered Producer 2 (illustrative — appliance manufacturer)</t>
  </si>
  <si>
    <t>EPR/ILLUS/0002</t>
  </si>
  <si>
    <t>Registered Producer 3 (illustrative — mobile phone brand)</t>
  </si>
  <si>
    <t>EPR/ILLUS/0003</t>
  </si>
  <si>
    <t>Partially Compliant</t>
  </si>
  <si>
    <t>Registered Producer 4 (illustrative — battery importer)</t>
  </si>
  <si>
    <t>EPR/ILLUS/0004</t>
  </si>
  <si>
    <t>Registered Producer 5 (illustrative — regional distributor)</t>
  </si>
  <si>
    <t>EPR/ILLUS/0005</t>
  </si>
  <si>
    <t>Non-Compliant</t>
  </si>
  <si>
    <t>Registered Producer 6 (illustrative — lighting equipment brand)</t>
  </si>
  <si>
    <t>EPR/ILLUS/0006</t>
  </si>
  <si>
    <t>Total Registered</t>
  </si>
  <si>
    <t>Inspections Planned</t>
  </si>
  <si>
    <t>Inspections Conducted</t>
  </si>
  <si>
    <t>Penalties Issued</t>
  </si>
  <si>
    <t>Penalties Resolved</t>
  </si>
  <si>
    <t>Informal Sector Hotspots</t>
  </si>
  <si>
    <t>One row per known informal e-waste recycling hotspot/cluster in the state.</t>
  </si>
  <si>
    <t>Hotspot / Informal Cluster Name</t>
  </si>
  <si>
    <t>Status</t>
  </si>
  <si>
    <t>Estimated Informal Workers</t>
  </si>
  <si>
    <t>Workers Registered / Trained</t>
  </si>
  <si>
    <t>Formalization Action Taken</t>
  </si>
  <si>
    <t>Informal Scrap Cluster - Visakhapatnam (illustrative)</t>
  </si>
  <si>
    <t>Partially Formalized</t>
  </si>
  <si>
    <t>Awareness drive + voluntary registration (illustrative)</t>
  </si>
  <si>
    <t>Informal Scrap Cluster - NTR/Vijayawada (illustrative)</t>
  </si>
  <si>
    <t>Not Formalized</t>
  </si>
  <si>
    <t>Informal Scrap Cluster - Guntur (illustrative)</t>
  </si>
  <si>
    <t>Informal Scrap Cluster - Kurnool (illustrative)</t>
  </si>
  <si>
    <t>Informal Scrap Cluster - Chittoor (illustrative)</t>
  </si>
  <si>
    <t>Formalized</t>
  </si>
  <si>
    <t>Total Hotspots</t>
  </si>
  <si>
    <t>Formalized/Remediated</t>
  </si>
  <si>
    <t>Estimated Workers (Total)</t>
  </si>
  <si>
    <t>Workers Registered/Trained (Total)</t>
  </si>
  <si>
    <t>Env Health Monitoring</t>
  </si>
  <si>
    <t>One row per environmental monitoring visit or health camp conducted at a hotspot.</t>
  </si>
  <si>
    <t>Site / Hotspot Monitored</t>
  </si>
  <si>
    <t>Monitoring Type</t>
  </si>
  <si>
    <t>Date</t>
  </si>
  <si>
    <t>Result</t>
  </si>
  <si>
    <t>Health Camp Conducted (Y/N)</t>
  </si>
  <si>
    <t>Beneficiaries Screened</t>
  </si>
  <si>
    <t>Soil + Water</t>
  </si>
  <si>
    <t>15-11-2025</t>
  </si>
  <si>
    <t>Exceeds Limit (Pb)</t>
  </si>
  <si>
    <t>Soil</t>
  </si>
  <si>
    <t>20-12-2025</t>
  </si>
  <si>
    <t>Within Limit</t>
  </si>
  <si>
    <t>Water</t>
  </si>
  <si>
    <t>10-01-2026</t>
  </si>
  <si>
    <t>Exceeds Limit (Cd)</t>
  </si>
  <si>
    <t>Distinct Sites Monitored</t>
  </si>
  <si>
    <t>Health Camps Conducted</t>
  </si>
  <si>
    <t>Total Beneficiaries Screened</t>
  </si>
  <si>
    <t>Awareness Programs</t>
  </si>
  <si>
    <t>One row per awareness campaign, take-back scheme promotion, or collection drive conducted.</t>
  </si>
  <si>
    <t>Program Name</t>
  </si>
  <si>
    <t>Type</t>
  </si>
  <si>
    <t>Target Audience</t>
  </si>
  <si>
    <t>Participants Reached</t>
  </si>
  <si>
    <t>E-Waste Awareness Drive - Schools (illustrative)</t>
  </si>
  <si>
    <t>15-06-2025</t>
  </si>
  <si>
    <t>School Collection Drive</t>
  </si>
  <si>
    <t>Students, Grades 6-10</t>
  </si>
  <si>
    <t>Community E-Waste Collection Drive (illustrative)</t>
  </si>
  <si>
    <t>20-08-2025</t>
  </si>
  <si>
    <t>RWA/Community Drive</t>
  </si>
  <si>
    <t>Residents</t>
  </si>
  <si>
    <t>College Outreach on E-Waste Rules 2022 (illustrative)</t>
  </si>
  <si>
    <t>05-10-2025</t>
  </si>
  <si>
    <t>College Seminar</t>
  </si>
  <si>
    <t>Engineering students</t>
  </si>
  <si>
    <t>Swap Your Old Gadget Campaign (illustrative)</t>
  </si>
  <si>
    <t>12-01-2026</t>
  </si>
  <si>
    <t>Public Awareness Campaign</t>
  </si>
  <si>
    <t>General public</t>
  </si>
  <si>
    <t>Total Programs Conducted</t>
  </si>
  <si>
    <t>Collection Drives (School+RWA)</t>
  </si>
  <si>
    <t>Total Participants Reached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</si>
</sst>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2">
    <font>
      <sz val="11"/>
      <color theme="1"/>
      <name val="Calibri"/>
      <family val="2"/>
      <charset val="1"/>
    </font>
    <font>
      <b/>
      <sz val="14"/>
      <color rgb="FFFFFFFF"/>
      <name val="Arial"/>
      <charset val="1"/>
    </font>
    <font>
      <i/>
      <sz val="10"/>
      <color rgb="FF404040"/>
      <name val="Arial"/>
      <charset val="1"/>
    </font>
    <font>
      <b/>
      <sz val="12"/>
      <color rgb="FFFFFFFF"/>
      <name val="Arial"/>
      <charset val="1"/>
    </font>
    <font>
      <b/>
      <sz val="28"/>
      <color rgb="FF1F4E78"/>
      <name val="Arial"/>
      <charset val="1"/>
    </font>
    <font>
      <b/>
      <sz val="14"/>
      <name val="Arial"/>
      <charset val="1"/>
    </font>
    <font>
      <b/>
      <sz val="10"/>
      <color rgb="FFFFFFFF"/>
      <name val="Arial"/>
      <charset val="1"/>
    </font>
    <font>
      <b/>
      <sz val="10"/>
      <name val="Arial"/>
      <charset val="1"/>
    </font>
    <font>
      <b/>
      <sz val="11"/>
      <color rgb="FF1F4E78"/>
      <name val="Arial"/>
      <charset val="1"/>
    </font>
    <font>
      <sz val="10"/>
      <name val="Arial"/>
      <charset val="1"/>
    </font>
    <font>
      <i/>
      <sz val="10"/>
      <color rgb="FF808080"/>
      <name val="Arial"/>
      <charset val="1"/>
    </font>
    <font>
      <sz val="10"/>
      <name val="Arial"/>
      <family val="2"/>
    </font>
  </fonts>
  <fills count="7">
    <fill>
      <patternFill patternType="none"/>
    </fill>
    <fill>
      <patternFill patternType="gray125"/>
    </fill>
    <fill>
      <patternFill patternType="solid">
        <fgColor rgb="FF1F4E78"/>
        <bgColor rgb="FF003366"/>
      </patternFill>
    </fill>
    <fill>
      <patternFill patternType="solid">
        <fgColor rgb="FFD9E1F2"/>
        <bgColor rgb="FFF2F2F2"/>
      </patternFill>
    </fill>
    <fill>
      <patternFill patternType="solid">
        <fgColor rgb="FF2E75B6"/>
        <bgColor rgb="FF0066CC"/>
      </patternFill>
    </fill>
    <fill>
      <patternFill patternType="solid">
        <fgColor rgb="FFFFFF99"/>
        <bgColor rgb="FFF2F2F2"/>
      </patternFill>
    </fill>
    <fill>
      <patternFill patternType="solid">
        <fgColor rgb="FFF2F2F2"/>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9" fillId="0" borderId="0" xfId="0" applyFont="1" applyAlignment="1">
      <alignment vertical="center" wrapText="1"/>
    </xf>
    <xf numFmtId="0" fontId="0" fillId="0" borderId="1" xfId="0" applyBorder="1" applyAlignment="1">
      <alignment vertical="center" wrapText="1"/>
    </xf>
    <xf numFmtId="0" fontId="2" fillId="0" borderId="0" xfId="0" applyFont="1" applyAlignment="1">
      <alignment vertical="center" wrapText="1"/>
    </xf>
    <xf numFmtId="0" fontId="5" fillId="0" borderId="0" xfId="0" applyFont="1" applyAlignment="1">
      <alignment horizontal="center" vertical="center"/>
    </xf>
    <xf numFmtId="164" fontId="4" fillId="3" borderId="0" xfId="0" applyNumberFormat="1" applyFont="1" applyFill="1" applyAlignment="1">
      <alignment horizontal="center" vertical="center"/>
    </xf>
    <xf numFmtId="0" fontId="3" fillId="2" borderId="0" xfId="0" applyFont="1" applyFill="1" applyAlignment="1">
      <alignment horizontal="center" vertical="center"/>
    </xf>
    <xf numFmtId="0" fontId="1" fillId="2" borderId="0" xfId="0" applyFont="1" applyFill="1" applyAlignment="1">
      <alignment horizontal="center" vertical="center"/>
    </xf>
    <xf numFmtId="0" fontId="6" fillId="4" borderId="1" xfId="0" applyFont="1" applyFill="1" applyBorder="1" applyAlignment="1">
      <alignment horizontal="center" vertical="center" wrapText="1"/>
    </xf>
    <xf numFmtId="0" fontId="0" fillId="0" borderId="1" xfId="0" applyBorder="1" applyAlignment="1">
      <alignment horizontal="center"/>
    </xf>
    <xf numFmtId="0" fontId="7" fillId="0" borderId="1" xfId="0" applyFont="1" applyBorder="1" applyAlignment="1">
      <alignment vertical="center" wrapText="1"/>
    </xf>
    <xf numFmtId="0" fontId="0" fillId="5" borderId="1" xfId="0" applyFill="1" applyBorder="1" applyAlignment="1">
      <alignment horizontal="center"/>
    </xf>
    <xf numFmtId="165" fontId="0" fillId="0" borderId="1" xfId="0" applyNumberFormat="1" applyBorder="1" applyAlignment="1">
      <alignment horizontal="center"/>
    </xf>
    <xf numFmtId="0" fontId="7" fillId="0" borderId="1" xfId="0" applyFont="1" applyBorder="1" applyAlignment="1">
      <alignment horizontal="center"/>
    </xf>
    <xf numFmtId="165" fontId="0" fillId="5" borderId="1" xfId="0" applyNumberFormat="1" applyFill="1" applyBorder="1" applyAlignment="1">
      <alignment horizontal="center"/>
    </xf>
    <xf numFmtId="0" fontId="0" fillId="3" borderId="1" xfId="0" applyFill="1" applyBorder="1"/>
    <xf numFmtId="0" fontId="7" fillId="3" borderId="1" xfId="0" applyFont="1" applyFill="1" applyBorder="1"/>
    <xf numFmtId="0" fontId="8" fillId="0" borderId="0" xfId="0" applyFont="1"/>
    <xf numFmtId="0" fontId="9" fillId="0" borderId="0" xfId="0" applyFont="1"/>
    <xf numFmtId="0" fontId="7" fillId="0" borderId="1" xfId="0" applyFont="1" applyBorder="1"/>
    <xf numFmtId="0" fontId="10" fillId="6" borderId="1" xfId="0" applyFont="1" applyFill="1" applyBorder="1" applyAlignment="1">
      <alignment horizontal="center" vertical="center" wrapText="1"/>
    </xf>
    <xf numFmtId="0" fontId="10" fillId="6" borderId="0" xfId="0" applyFont="1" applyFill="1"/>
    <xf numFmtId="0" fontId="10" fillId="6" borderId="1" xfId="0" applyFont="1" applyFill="1" applyBorder="1"/>
    <xf numFmtId="165" fontId="10" fillId="6" borderId="1" xfId="0" applyNumberFormat="1" applyFont="1" applyFill="1" applyBorder="1" applyAlignment="1">
      <alignment horizontal="center" vertical="center" wrapText="1"/>
    </xf>
    <xf numFmtId="0" fontId="9" fillId="5" borderId="1" xfId="0" applyFont="1" applyFill="1" applyBorder="1" applyAlignment="1">
      <alignment horizontal="center" vertical="center" wrapText="1"/>
    </xf>
    <xf numFmtId="165" fontId="9" fillId="5" borderId="1" xfId="0" applyNumberFormat="1" applyFont="1" applyFill="1" applyBorder="1" applyAlignment="1">
      <alignment horizontal="center" vertical="center" wrapText="1"/>
    </xf>
    <xf numFmtId="165" fontId="7" fillId="3" borderId="1" xfId="0" applyNumberFormat="1" applyFont="1" applyFill="1" applyBorder="1"/>
    <xf numFmtId="0" fontId="2"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3"/>
  <sheetViews>
    <sheetView showGridLines="0" topLeftCell="A14" zoomScaleNormal="100" workbookViewId="0"/>
  </sheetViews>
  <sheetFormatPr defaultColWidth="8.7109375" defaultRowHeight="15"/>
  <cols>
    <col min="1" max="1" width="3" customWidth="1"/>
    <col min="2" max="2" width="6" customWidth="1"/>
    <col min="3" max="3" width="30" customWidth="1"/>
    <col min="4" max="4" width="10" customWidth="1"/>
    <col min="5" max="6" width="16" customWidth="1"/>
    <col min="7" max="7" width="14" customWidth="1"/>
    <col min="8" max="8" width="13" customWidth="1"/>
    <col min="9" max="9" width="10" customWidth="1"/>
  </cols>
  <sheetData>
    <row r="2" spans="1:9" ht="25.5" customHeight="1">
      <c r="A2" s="7" t="s">
        <v>0</v>
      </c>
      <c r="B2" s="7"/>
      <c r="C2" s="7"/>
      <c r="D2" s="7"/>
      <c r="E2" s="7"/>
      <c r="F2" s="7"/>
      <c r="G2" s="7"/>
      <c r="H2" s="7"/>
    </row>
    <row r="3" spans="1:9" ht="15" customHeight="1">
      <c r="B3" s="27" t="s">
        <v>1</v>
      </c>
      <c r="C3" s="27"/>
      <c r="D3" s="27"/>
      <c r="E3" s="27"/>
      <c r="F3" s="27"/>
      <c r="G3" s="27"/>
      <c r="H3" s="27"/>
      <c r="I3" s="27"/>
    </row>
    <row r="5" spans="1:9" ht="15" customHeight="1">
      <c r="B5" s="6" t="s">
        <v>2</v>
      </c>
      <c r="C5" s="6"/>
      <c r="D5" s="5">
        <f>ROUND(H17,1)</f>
        <v>46.6</v>
      </c>
      <c r="E5" s="5"/>
      <c r="F5" s="4" t="str">
        <f>_xlfn.IFS(H17&gt;=85,"EXCELLENT",H17&gt;=65,"GOOD",H17&gt;=45,"NEEDS IMPROVEMENT",TRUE(),"CRITICAL")</f>
        <v>NEEDS IMPROVEMENT</v>
      </c>
      <c r="G5" s="4"/>
      <c r="H5" s="4"/>
      <c r="I5" s="4"/>
    </row>
    <row r="6" spans="1:9" ht="15" customHeight="1">
      <c r="B6" s="6"/>
      <c r="C6" s="6"/>
      <c r="D6" s="5"/>
      <c r="E6" s="5"/>
      <c r="F6" s="4"/>
      <c r="G6" s="4"/>
      <c r="H6" s="4"/>
      <c r="I6" s="4"/>
    </row>
    <row r="7" spans="1:9" ht="15" customHeight="1">
      <c r="B7" s="6"/>
      <c r="C7" s="6"/>
      <c r="D7" s="5"/>
      <c r="E7" s="5"/>
      <c r="F7" s="4"/>
      <c r="G7" s="4"/>
      <c r="H7" s="4"/>
      <c r="I7" s="4"/>
    </row>
    <row r="9" spans="1:9" ht="30" customHeight="1">
      <c r="B9" s="8" t="s">
        <v>3</v>
      </c>
      <c r="C9" s="8" t="s">
        <v>4</v>
      </c>
      <c r="D9" s="8" t="s">
        <v>5</v>
      </c>
      <c r="E9" s="8" t="s">
        <v>6</v>
      </c>
      <c r="F9" s="8" t="s">
        <v>7</v>
      </c>
      <c r="G9" s="8" t="s">
        <v>8</v>
      </c>
      <c r="H9" s="8" t="s">
        <v>9</v>
      </c>
    </row>
    <row r="10" spans="1:9" ht="30" customHeight="1">
      <c r="B10" s="9">
        <v>1</v>
      </c>
      <c r="C10" s="10" t="s">
        <v>10</v>
      </c>
      <c r="D10" s="9">
        <v>15</v>
      </c>
      <c r="E10" s="11">
        <v>26</v>
      </c>
      <c r="F10" s="9">
        <f>COUNTIF('1_Generation_Inventory'!C6:C31,"?*")</f>
        <v>0</v>
      </c>
      <c r="G10" s="12">
        <f>IFERROR(MIN(F10/E10,1),0)</f>
        <v>0</v>
      </c>
      <c r="H10" s="13">
        <f>ROUND(G10*D10,1)</f>
        <v>0</v>
      </c>
    </row>
    <row r="11" spans="1:9" ht="30" customHeight="1">
      <c r="B11" s="9">
        <v>2</v>
      </c>
      <c r="C11" s="10" t="s">
        <v>11</v>
      </c>
      <c r="D11" s="9">
        <v>20</v>
      </c>
      <c r="E11" s="14">
        <v>1</v>
      </c>
      <c r="F11" s="12">
        <f>IFERROR('2_Collection_Log'!F33/'2_Collection_Log'!C33,0)</f>
        <v>0.60000003320499051</v>
      </c>
      <c r="G11" s="12">
        <f>IFERROR(MIN(F11/E11,1),0)</f>
        <v>0.60000003320499051</v>
      </c>
      <c r="H11" s="13">
        <f>ROUND(G11*D11,1)</f>
        <v>12</v>
      </c>
    </row>
    <row r="12" spans="1:9" ht="30" customHeight="1">
      <c r="B12" s="9">
        <v>3</v>
      </c>
      <c r="C12" s="10" t="s">
        <v>12</v>
      </c>
      <c r="D12" s="9">
        <v>20</v>
      </c>
      <c r="E12" s="14">
        <v>1</v>
      </c>
      <c r="F12" s="12">
        <f>IFERROR(('3_Recycling_Infrastructure'!E28*1000)/'2_Collection_Log'!C33,0)</f>
        <v>0.730551297476703</v>
      </c>
      <c r="G12" s="12">
        <f>IFERROR(MIN(F12/E12,1),0)</f>
        <v>0.730551297476703</v>
      </c>
      <c r="H12" s="13">
        <f>ROUND(G12*D12,1)</f>
        <v>14.6</v>
      </c>
    </row>
    <row r="13" spans="1:9" ht="30" customHeight="1">
      <c r="B13" s="9">
        <v>4</v>
      </c>
      <c r="C13" s="10" t="s">
        <v>13</v>
      </c>
      <c r="D13" s="9">
        <v>15</v>
      </c>
      <c r="E13" s="14">
        <v>1</v>
      </c>
      <c r="F13" s="12">
        <f>IFERROR('4_Compliance_Tracker'!C28/'4_Compliance_Tracker'!C29,0)</f>
        <v>0.66666666666666663</v>
      </c>
      <c r="G13" s="12">
        <f>IFERROR(MIN(F13/E13,1),0)</f>
        <v>0.66666666666666663</v>
      </c>
      <c r="H13" s="13">
        <f>ROUND(G13*D13,1)</f>
        <v>10</v>
      </c>
    </row>
    <row r="14" spans="1:9" ht="30" customHeight="1">
      <c r="B14" s="9">
        <v>5</v>
      </c>
      <c r="C14" s="10" t="s">
        <v>14</v>
      </c>
      <c r="D14" s="9">
        <v>10</v>
      </c>
      <c r="E14" s="14">
        <v>1</v>
      </c>
      <c r="F14" s="12">
        <f>IFERROR('5_Informal_Sector_Hotspots'!C29/'5_Informal_Sector_Hotspots'!C28,0)</f>
        <v>0.2</v>
      </c>
      <c r="G14" s="12">
        <f>IFERROR(MIN(F14/E14,1),0)</f>
        <v>0.2</v>
      </c>
      <c r="H14" s="13">
        <f>ROUND(G14*D14,1)</f>
        <v>2</v>
      </c>
    </row>
    <row r="15" spans="1:9" ht="30" customHeight="1">
      <c r="B15" s="9">
        <v>6</v>
      </c>
      <c r="C15" s="10" t="s">
        <v>15</v>
      </c>
      <c r="D15" s="9">
        <v>10</v>
      </c>
      <c r="E15" s="14">
        <v>1</v>
      </c>
      <c r="F15" s="12">
        <f>IFERROR('6_Env_Health_Monitoring'!C28/'5_Informal_Sector_Hotspots'!C28,0)</f>
        <v>0.6</v>
      </c>
      <c r="G15" s="12">
        <f>IFERROR(MIN(F15/E15,1),0)</f>
        <v>0.6</v>
      </c>
      <c r="H15" s="13">
        <f>ROUND(G15*D15,1)</f>
        <v>6</v>
      </c>
    </row>
    <row r="16" spans="1:9" ht="30" customHeight="1">
      <c r="B16" s="9">
        <v>7</v>
      </c>
      <c r="C16" s="10" t="s">
        <v>16</v>
      </c>
      <c r="D16" s="9">
        <v>10</v>
      </c>
      <c r="E16" s="11">
        <v>20</v>
      </c>
      <c r="F16" s="9">
        <f>'7_Awareness_Programs'!C28</f>
        <v>4</v>
      </c>
      <c r="G16" s="12">
        <f>IFERROR(MIN(F16/E16,1),0)</f>
        <v>0.2</v>
      </c>
      <c r="H16" s="13">
        <f>ROUND(G16*D16,1)</f>
        <v>2</v>
      </c>
    </row>
    <row r="17" spans="2:8" ht="15" customHeight="1">
      <c r="B17" s="15"/>
      <c r="C17" s="16" t="s">
        <v>17</v>
      </c>
      <c r="D17" s="16">
        <f>SUM(D10:D16)</f>
        <v>100</v>
      </c>
      <c r="E17" s="15"/>
      <c r="F17" s="15"/>
      <c r="G17" s="15"/>
      <c r="H17" s="16">
        <f>SUM(H10:H16)</f>
        <v>46.6</v>
      </c>
    </row>
    <row r="19" spans="2:8" ht="15" customHeight="1">
      <c r="B19" s="17" t="s">
        <v>18</v>
      </c>
    </row>
    <row r="20" spans="2:8" ht="15" customHeight="1">
      <c r="B20" s="18" t="s">
        <v>19</v>
      </c>
      <c r="C20" s="18" t="s">
        <v>20</v>
      </c>
    </row>
    <row r="21" spans="2:8" ht="15" customHeight="1">
      <c r="B21" s="18" t="s">
        <v>21</v>
      </c>
      <c r="C21" s="18" t="s">
        <v>22</v>
      </c>
    </row>
    <row r="22" spans="2:8" ht="15" customHeight="1">
      <c r="B22" s="18" t="s">
        <v>23</v>
      </c>
      <c r="C22" s="18" t="s">
        <v>24</v>
      </c>
    </row>
    <row r="23" spans="2:8" ht="15" customHeight="1">
      <c r="B23" s="18" t="s">
        <v>25</v>
      </c>
      <c r="C23" s="18" t="s">
        <v>26</v>
      </c>
    </row>
  </sheetData>
  <mergeCells count="5">
    <mergeCell ref="A2:H2"/>
    <mergeCell ref="B3:I3"/>
    <mergeCell ref="B5:C7"/>
    <mergeCell ref="D5:E7"/>
    <mergeCell ref="F5:I7"/>
  </mergeCells>
  <conditionalFormatting sqref="D5">
    <cfRule type="colorScale" priority="2">
      <colorScale>
        <cfvo type="num" val="0"/>
        <cfvo type="num" val="60"/>
        <cfvo type="num" val="100"/>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1"/>
  <sheetViews>
    <sheetView showGridLines="0" zoomScaleNormal="100" workbookViewId="0"/>
  </sheetViews>
  <sheetFormatPr defaultColWidth="8.7109375" defaultRowHeight="15"/>
  <cols>
    <col min="1" max="1" width="3" customWidth="1"/>
    <col min="2" max="2" width="6" customWidth="1"/>
    <col min="3" max="3" width="26" customWidth="1"/>
    <col min="4" max="4" width="9" customWidth="1"/>
    <col min="5" max="8" width="16" customWidth="1"/>
  </cols>
  <sheetData>
    <row r="2" spans="1:8" ht="25.5" customHeight="1">
      <c r="A2" s="7" t="s">
        <v>27</v>
      </c>
      <c r="B2" s="7"/>
      <c r="C2" s="7"/>
      <c r="D2" s="7"/>
      <c r="E2" s="7"/>
      <c r="F2" s="7"/>
      <c r="G2" s="7"/>
    </row>
    <row r="4" spans="1:8" ht="30" customHeight="1">
      <c r="B4" s="3" t="s">
        <v>28</v>
      </c>
      <c r="C4" s="3"/>
      <c r="D4" s="3"/>
      <c r="E4" s="3"/>
      <c r="F4" s="3"/>
      <c r="G4" s="3"/>
      <c r="H4" s="3"/>
    </row>
    <row r="6" spans="1:8" ht="23.25" customHeight="1">
      <c r="B6" s="8" t="s">
        <v>3</v>
      </c>
      <c r="C6" s="8" t="s">
        <v>4</v>
      </c>
      <c r="D6" s="8" t="s">
        <v>5</v>
      </c>
      <c r="E6" s="8" t="s">
        <v>29</v>
      </c>
    </row>
    <row r="7" spans="1:8" ht="30" customHeight="1">
      <c r="B7" s="9">
        <v>1</v>
      </c>
      <c r="C7" s="19" t="s">
        <v>10</v>
      </c>
      <c r="D7" s="9">
        <v>15</v>
      </c>
      <c r="E7" s="2" t="s">
        <v>30</v>
      </c>
      <c r="F7" s="2"/>
      <c r="G7" s="2"/>
      <c r="H7" s="2"/>
    </row>
    <row r="8" spans="1:8" ht="30" customHeight="1">
      <c r="B8" s="9">
        <v>2</v>
      </c>
      <c r="C8" s="19" t="s">
        <v>11</v>
      </c>
      <c r="D8" s="9">
        <v>20</v>
      </c>
      <c r="E8" s="2" t="s">
        <v>31</v>
      </c>
      <c r="F8" s="2"/>
      <c r="G8" s="2"/>
      <c r="H8" s="2"/>
    </row>
    <row r="9" spans="1:8" ht="30" customHeight="1">
      <c r="B9" s="9">
        <v>3</v>
      </c>
      <c r="C9" s="19" t="s">
        <v>12</v>
      </c>
      <c r="D9" s="9">
        <v>20</v>
      </c>
      <c r="E9" s="2" t="s">
        <v>32</v>
      </c>
      <c r="F9" s="2"/>
      <c r="G9" s="2"/>
      <c r="H9" s="2"/>
    </row>
    <row r="10" spans="1:8" ht="30" customHeight="1">
      <c r="B10" s="9">
        <v>4</v>
      </c>
      <c r="C10" s="19" t="s">
        <v>13</v>
      </c>
      <c r="D10" s="9">
        <v>15</v>
      </c>
      <c r="E10" s="2" t="s">
        <v>33</v>
      </c>
      <c r="F10" s="2"/>
      <c r="G10" s="2"/>
      <c r="H10" s="2"/>
    </row>
    <row r="11" spans="1:8" ht="30" customHeight="1">
      <c r="B11" s="9">
        <v>5</v>
      </c>
      <c r="C11" s="19" t="s">
        <v>14</v>
      </c>
      <c r="D11" s="9">
        <v>10</v>
      </c>
      <c r="E11" s="2" t="s">
        <v>34</v>
      </c>
      <c r="F11" s="2"/>
      <c r="G11" s="2"/>
      <c r="H11" s="2"/>
    </row>
    <row r="12" spans="1:8" ht="30" customHeight="1">
      <c r="B12" s="9">
        <v>6</v>
      </c>
      <c r="C12" s="19" t="s">
        <v>15</v>
      </c>
      <c r="D12" s="9">
        <v>10</v>
      </c>
      <c r="E12" s="2" t="s">
        <v>35</v>
      </c>
      <c r="F12" s="2"/>
      <c r="G12" s="2"/>
      <c r="H12" s="2"/>
    </row>
    <row r="13" spans="1:8" ht="30" customHeight="1">
      <c r="B13" s="9">
        <v>7</v>
      </c>
      <c r="C13" s="19" t="s">
        <v>16</v>
      </c>
      <c r="D13" s="9">
        <v>10</v>
      </c>
      <c r="E13" s="2" t="s">
        <v>36</v>
      </c>
      <c r="F13" s="2"/>
      <c r="G13" s="2"/>
      <c r="H13" s="2"/>
    </row>
    <row r="14" spans="1:8" ht="15" customHeight="1">
      <c r="B14" s="15"/>
      <c r="C14" s="16" t="s">
        <v>37</v>
      </c>
      <c r="D14" s="16">
        <v>100</v>
      </c>
      <c r="E14" s="15"/>
      <c r="F14" s="15"/>
      <c r="G14" s="15"/>
      <c r="H14" s="15"/>
    </row>
    <row r="16" spans="1:8" ht="15" customHeight="1">
      <c r="B16" s="17" t="s">
        <v>38</v>
      </c>
    </row>
    <row r="17" spans="2:8" ht="25.5" customHeight="1">
      <c r="B17" s="1" t="s">
        <v>39</v>
      </c>
      <c r="C17" s="1"/>
      <c r="D17" s="1"/>
      <c r="E17" s="1"/>
      <c r="F17" s="1"/>
      <c r="G17" s="1"/>
      <c r="H17" s="1"/>
    </row>
    <row r="18" spans="2:8" ht="25.5" customHeight="1">
      <c r="B18" s="1" t="s">
        <v>40</v>
      </c>
      <c r="C18" s="1"/>
      <c r="D18" s="1"/>
      <c r="E18" s="1"/>
      <c r="F18" s="1"/>
      <c r="G18" s="1"/>
      <c r="H18" s="1"/>
    </row>
    <row r="19" spans="2:8" ht="25.5" customHeight="1">
      <c r="B19" s="1" t="s">
        <v>41</v>
      </c>
      <c r="C19" s="1"/>
      <c r="D19" s="1"/>
      <c r="E19" s="1"/>
      <c r="F19" s="1"/>
      <c r="G19" s="1"/>
      <c r="H19" s="1"/>
    </row>
    <row r="20" spans="2:8" ht="25.5" customHeight="1">
      <c r="B20" s="1" t="s">
        <v>42</v>
      </c>
      <c r="C20" s="1"/>
      <c r="D20" s="1"/>
      <c r="E20" s="1"/>
      <c r="F20" s="1"/>
      <c r="G20" s="1"/>
      <c r="H20" s="1"/>
    </row>
    <row r="21" spans="2:8" ht="25.5" customHeight="1">
      <c r="B21" s="1" t="s">
        <v>43</v>
      </c>
      <c r="C21" s="1"/>
      <c r="D21" s="1"/>
      <c r="E21" s="1"/>
      <c r="F21" s="1"/>
      <c r="G21" s="1"/>
      <c r="H21" s="1"/>
    </row>
  </sheetData>
  <mergeCells count="14">
    <mergeCell ref="B18:H18"/>
    <mergeCell ref="B19:H19"/>
    <mergeCell ref="B20:H20"/>
    <mergeCell ref="B21:H21"/>
    <mergeCell ref="E10:H10"/>
    <mergeCell ref="E11:H11"/>
    <mergeCell ref="E12:H12"/>
    <mergeCell ref="E13:H13"/>
    <mergeCell ref="B17:H17"/>
    <mergeCell ref="A2:G2"/>
    <mergeCell ref="B4:H4"/>
    <mergeCell ref="E7:H7"/>
    <mergeCell ref="E8:H8"/>
    <mergeCell ref="E9:H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K33"/>
  <sheetViews>
    <sheetView showGridLines="0" zoomScaleNormal="100" workbookViewId="0">
      <pane xSplit="2" ySplit="6" topLeftCell="C51" activePane="bottomRight" state="frozen"/>
      <selection pane="bottomRight"/>
      <selection pane="bottomLeft" activeCell="A7" sqref="A7"/>
      <selection pane="topRight" activeCell="C1" sqref="C1"/>
    </sheetView>
  </sheetViews>
  <sheetFormatPr defaultColWidth="8.7109375" defaultRowHeight="15"/>
  <cols>
    <col min="1" max="1" width="3" customWidth="1"/>
    <col min="2" max="2" width="16" customWidth="1"/>
    <col min="3" max="3" width="12" customWidth="1"/>
    <col min="4" max="4" width="16" customWidth="1"/>
    <col min="5" max="5" width="20" customWidth="1"/>
    <col min="6" max="6" width="18" customWidth="1"/>
    <col min="7" max="7" width="16" customWidth="1"/>
    <col min="8" max="8" width="14" customWidth="1"/>
    <col min="9" max="9" width="12" customWidth="1"/>
    <col min="10" max="10" width="15" customWidth="1"/>
    <col min="11" max="11" width="16" customWidth="1"/>
  </cols>
  <sheetData>
    <row r="2" spans="1:11" ht="25.5" customHeight="1">
      <c r="A2" s="7" t="s">
        <v>44</v>
      </c>
      <c r="B2" s="7"/>
      <c r="C2" s="7"/>
      <c r="D2" s="7"/>
      <c r="E2" s="7"/>
      <c r="F2" s="7"/>
      <c r="G2" s="7"/>
      <c r="H2" s="7"/>
      <c r="I2" s="7"/>
      <c r="J2" s="7"/>
    </row>
    <row r="3" spans="1:11" ht="15" customHeight="1">
      <c r="B3" s="27" t="s">
        <v>45</v>
      </c>
      <c r="C3" s="27"/>
      <c r="D3" s="27"/>
      <c r="E3" s="27"/>
      <c r="F3" s="27"/>
      <c r="G3" s="27"/>
      <c r="H3" s="27"/>
      <c r="I3" s="27"/>
      <c r="J3" s="27"/>
      <c r="K3" s="27"/>
    </row>
    <row r="5" spans="1:11" ht="31.5" customHeight="1">
      <c r="B5" s="8" t="s">
        <v>46</v>
      </c>
      <c r="C5" s="8" t="s">
        <v>47</v>
      </c>
      <c r="D5" s="8" t="s">
        <v>48</v>
      </c>
      <c r="E5" s="8" t="s">
        <v>49</v>
      </c>
      <c r="F5" s="8" t="s">
        <v>50</v>
      </c>
      <c r="G5" s="8" t="s">
        <v>51</v>
      </c>
      <c r="H5" s="8" t="s">
        <v>52</v>
      </c>
      <c r="I5" s="8" t="s">
        <v>53</v>
      </c>
      <c r="J5" s="8" t="s">
        <v>54</v>
      </c>
      <c r="K5" s="8" t="s">
        <v>55</v>
      </c>
    </row>
    <row r="6" spans="1:11" ht="15" customHeight="1">
      <c r="B6" s="20" t="s">
        <v>56</v>
      </c>
      <c r="C6" s="20">
        <v>2191471</v>
      </c>
      <c r="D6" s="20">
        <v>948506</v>
      </c>
      <c r="E6" s="20">
        <v>758805</v>
      </c>
      <c r="F6" s="20">
        <v>487803</v>
      </c>
      <c r="G6" s="20">
        <v>135501</v>
      </c>
      <c r="H6" s="20">
        <v>243902</v>
      </c>
      <c r="I6" s="20">
        <v>135501</v>
      </c>
      <c r="J6" s="20">
        <f>SUM(D6:I6)</f>
        <v>2710018</v>
      </c>
      <c r="K6" s="20" t="s">
        <v>57</v>
      </c>
    </row>
    <row r="7" spans="1:11" ht="15" customHeight="1">
      <c r="B7" s="20" t="s">
        <v>58</v>
      </c>
      <c r="C7" s="20">
        <v>925340</v>
      </c>
      <c r="D7" s="20">
        <v>400503</v>
      </c>
      <c r="E7" s="20">
        <v>320402</v>
      </c>
      <c r="F7" s="20">
        <v>205973</v>
      </c>
      <c r="G7" s="20">
        <v>57215</v>
      </c>
      <c r="H7" s="20">
        <v>102987</v>
      </c>
      <c r="I7" s="20">
        <v>57215</v>
      </c>
      <c r="J7" s="20">
        <f>SUM(D7:I7)</f>
        <v>1144295</v>
      </c>
      <c r="K7" s="20" t="s">
        <v>57</v>
      </c>
    </row>
    <row r="8" spans="1:11" ht="15" customHeight="1">
      <c r="B8" s="20" t="s">
        <v>59</v>
      </c>
      <c r="C8" s="20">
        <v>1930811</v>
      </c>
      <c r="D8" s="20">
        <v>835688</v>
      </c>
      <c r="E8" s="20">
        <v>668551</v>
      </c>
      <c r="F8" s="20">
        <v>429782</v>
      </c>
      <c r="G8" s="20">
        <v>119384</v>
      </c>
      <c r="H8" s="20">
        <v>214891</v>
      </c>
      <c r="I8" s="20">
        <v>119384</v>
      </c>
      <c r="J8" s="20">
        <f>SUM(D8:I8)</f>
        <v>2387680</v>
      </c>
      <c r="K8" s="20" t="s">
        <v>57</v>
      </c>
    </row>
    <row r="9" spans="1:11" ht="15" customHeight="1">
      <c r="B9" s="20" t="s">
        <v>60</v>
      </c>
      <c r="C9" s="20">
        <v>1959544</v>
      </c>
      <c r="D9" s="20">
        <v>848124</v>
      </c>
      <c r="E9" s="20">
        <v>678499</v>
      </c>
      <c r="F9" s="20">
        <v>436178</v>
      </c>
      <c r="G9" s="20">
        <v>121161</v>
      </c>
      <c r="H9" s="20">
        <v>218089</v>
      </c>
      <c r="I9" s="20">
        <v>121161</v>
      </c>
      <c r="J9" s="20">
        <f>SUM(D9:I9)</f>
        <v>2423212</v>
      </c>
      <c r="K9" s="20" t="s">
        <v>57</v>
      </c>
    </row>
    <row r="10" spans="1:11" ht="15" customHeight="1">
      <c r="B10" s="20" t="s">
        <v>61</v>
      </c>
      <c r="C10" s="20">
        <v>604031</v>
      </c>
      <c r="D10" s="20">
        <v>261435</v>
      </c>
      <c r="E10" s="20">
        <v>209148</v>
      </c>
      <c r="F10" s="20">
        <v>134452</v>
      </c>
      <c r="G10" s="20">
        <v>37348</v>
      </c>
      <c r="H10" s="20">
        <v>67226</v>
      </c>
      <c r="I10" s="20">
        <v>37348</v>
      </c>
      <c r="J10" s="20">
        <f>SUM(D10:I10)</f>
        <v>746957</v>
      </c>
      <c r="K10" s="20" t="s">
        <v>57</v>
      </c>
    </row>
    <row r="11" spans="1:11" ht="15" customHeight="1">
      <c r="B11" s="20" t="s">
        <v>62</v>
      </c>
      <c r="C11" s="20">
        <v>1726998</v>
      </c>
      <c r="D11" s="20">
        <v>747474</v>
      </c>
      <c r="E11" s="20">
        <v>597980</v>
      </c>
      <c r="F11" s="20">
        <v>384415</v>
      </c>
      <c r="G11" s="20">
        <v>106782</v>
      </c>
      <c r="H11" s="20">
        <v>192208</v>
      </c>
      <c r="I11" s="20">
        <v>106782</v>
      </c>
      <c r="J11" s="20">
        <f>SUM(D11:I11)</f>
        <v>2135641</v>
      </c>
      <c r="K11" s="20" t="s">
        <v>57</v>
      </c>
    </row>
    <row r="12" spans="1:11" ht="15" customHeight="1">
      <c r="B12" s="20" t="s">
        <v>63</v>
      </c>
      <c r="C12" s="20">
        <v>2092374</v>
      </c>
      <c r="D12" s="20">
        <v>905615</v>
      </c>
      <c r="E12" s="20">
        <v>724492</v>
      </c>
      <c r="F12" s="20">
        <v>465745</v>
      </c>
      <c r="G12" s="20">
        <v>129374</v>
      </c>
      <c r="H12" s="20">
        <v>232873</v>
      </c>
      <c r="I12" s="20">
        <v>129374</v>
      </c>
      <c r="J12" s="20">
        <f>SUM(D12:I12)</f>
        <v>2587473</v>
      </c>
      <c r="K12" s="20" t="s">
        <v>57</v>
      </c>
    </row>
    <row r="13" spans="1:11" ht="15" customHeight="1">
      <c r="B13" s="20" t="s">
        <v>64</v>
      </c>
      <c r="C13" s="20">
        <v>1832332</v>
      </c>
      <c r="D13" s="20">
        <v>793065</v>
      </c>
      <c r="E13" s="20">
        <v>634452</v>
      </c>
      <c r="F13" s="20">
        <v>407862</v>
      </c>
      <c r="G13" s="20">
        <v>113295</v>
      </c>
      <c r="H13" s="20">
        <v>203931</v>
      </c>
      <c r="I13" s="20">
        <v>113295</v>
      </c>
      <c r="J13" s="20">
        <f>SUM(D13:I13)</f>
        <v>2265900</v>
      </c>
      <c r="K13" s="20" t="s">
        <v>57</v>
      </c>
    </row>
    <row r="14" spans="1:11" ht="15" customHeight="1">
      <c r="B14" s="20" t="s">
        <v>65</v>
      </c>
      <c r="C14" s="20">
        <v>1719093</v>
      </c>
      <c r="D14" s="20">
        <v>744053</v>
      </c>
      <c r="E14" s="20">
        <v>595242</v>
      </c>
      <c r="F14" s="20">
        <v>382656</v>
      </c>
      <c r="G14" s="20">
        <v>106293</v>
      </c>
      <c r="H14" s="20">
        <v>191328</v>
      </c>
      <c r="I14" s="20">
        <v>106293</v>
      </c>
      <c r="J14" s="20">
        <f>SUM(D14:I14)</f>
        <v>2125865</v>
      </c>
      <c r="K14" s="20" t="s">
        <v>57</v>
      </c>
    </row>
    <row r="15" spans="1:11" ht="15" customHeight="1">
      <c r="B15" s="20" t="s">
        <v>66</v>
      </c>
      <c r="C15" s="20">
        <v>2006737</v>
      </c>
      <c r="D15" s="20">
        <v>868550</v>
      </c>
      <c r="E15" s="20">
        <v>694840</v>
      </c>
      <c r="F15" s="20">
        <v>446683</v>
      </c>
      <c r="G15" s="20">
        <v>124079</v>
      </c>
      <c r="H15" s="20">
        <v>223341</v>
      </c>
      <c r="I15" s="20">
        <v>124079</v>
      </c>
      <c r="J15" s="20">
        <f>SUM(D15:I15)</f>
        <v>2481572</v>
      </c>
      <c r="K15" s="20" t="s">
        <v>57</v>
      </c>
    </row>
    <row r="16" spans="1:11" ht="15" customHeight="1">
      <c r="B16" s="20" t="s">
        <v>67</v>
      </c>
      <c r="C16" s="20">
        <v>1844898</v>
      </c>
      <c r="D16" s="20">
        <v>798504</v>
      </c>
      <c r="E16" s="20">
        <v>638803</v>
      </c>
      <c r="F16" s="20">
        <v>410659</v>
      </c>
      <c r="G16" s="20">
        <v>114072</v>
      </c>
      <c r="H16" s="20">
        <v>205329</v>
      </c>
      <c r="I16" s="20">
        <v>114072</v>
      </c>
      <c r="J16" s="20">
        <f>SUM(D16:I16)</f>
        <v>2281439</v>
      </c>
      <c r="K16" s="20" t="s">
        <v>57</v>
      </c>
    </row>
    <row r="17" spans="2:11" ht="15" customHeight="1">
      <c r="B17" s="20" t="s">
        <v>68</v>
      </c>
      <c r="C17" s="20">
        <v>2218591</v>
      </c>
      <c r="D17" s="20">
        <v>960244</v>
      </c>
      <c r="E17" s="20">
        <v>768195</v>
      </c>
      <c r="F17" s="20">
        <v>493840</v>
      </c>
      <c r="G17" s="20">
        <v>137178</v>
      </c>
      <c r="H17" s="20">
        <v>246920</v>
      </c>
      <c r="I17" s="20">
        <v>137178</v>
      </c>
      <c r="J17" s="20">
        <f>SUM(D17:I17)</f>
        <v>2743555</v>
      </c>
      <c r="K17" s="20" t="s">
        <v>57</v>
      </c>
    </row>
    <row r="18" spans="2:11" ht="15" customHeight="1">
      <c r="B18" s="20" t="s">
        <v>69</v>
      </c>
      <c r="C18" s="20">
        <v>1735079</v>
      </c>
      <c r="D18" s="20">
        <v>750972</v>
      </c>
      <c r="E18" s="20">
        <v>600778</v>
      </c>
      <c r="F18" s="20">
        <v>386214</v>
      </c>
      <c r="G18" s="20">
        <v>107282</v>
      </c>
      <c r="H18" s="20">
        <v>193107</v>
      </c>
      <c r="I18" s="20">
        <v>107282</v>
      </c>
      <c r="J18" s="20">
        <f>SUM(D18:I18)</f>
        <v>2145635</v>
      </c>
      <c r="K18" s="20" t="s">
        <v>57</v>
      </c>
    </row>
    <row r="19" spans="2:11" ht="15" customHeight="1">
      <c r="B19" s="20" t="s">
        <v>70</v>
      </c>
      <c r="C19" s="20">
        <v>2041723</v>
      </c>
      <c r="D19" s="20">
        <v>883693</v>
      </c>
      <c r="E19" s="20">
        <v>706954</v>
      </c>
      <c r="F19" s="20">
        <v>454471</v>
      </c>
      <c r="G19" s="20">
        <v>126242</v>
      </c>
      <c r="H19" s="20">
        <v>227235</v>
      </c>
      <c r="I19" s="20">
        <v>126242</v>
      </c>
      <c r="J19" s="20">
        <f>SUM(D19:I19)</f>
        <v>2524837</v>
      </c>
      <c r="K19" s="20" t="s">
        <v>57</v>
      </c>
    </row>
    <row r="20" spans="2:11" ht="15" customHeight="1">
      <c r="B20" s="20" t="s">
        <v>71</v>
      </c>
      <c r="C20" s="20">
        <v>2091075</v>
      </c>
      <c r="D20" s="20">
        <v>905053</v>
      </c>
      <c r="E20" s="20">
        <v>724043</v>
      </c>
      <c r="F20" s="20">
        <v>465456</v>
      </c>
      <c r="G20" s="20">
        <v>129293</v>
      </c>
      <c r="H20" s="20">
        <v>232728</v>
      </c>
      <c r="I20" s="20">
        <v>129293</v>
      </c>
      <c r="J20" s="20">
        <f>SUM(D20:I20)</f>
        <v>2585866</v>
      </c>
      <c r="K20" s="20" t="s">
        <v>57</v>
      </c>
    </row>
    <row r="21" spans="2:11" ht="15" customHeight="1">
      <c r="B21" s="20" t="s">
        <v>72</v>
      </c>
      <c r="C21" s="20">
        <v>1586918</v>
      </c>
      <c r="D21" s="20">
        <v>686845</v>
      </c>
      <c r="E21" s="20">
        <v>549476</v>
      </c>
      <c r="F21" s="20">
        <v>353235</v>
      </c>
      <c r="G21" s="20">
        <v>98121</v>
      </c>
      <c r="H21" s="20">
        <v>176617</v>
      </c>
      <c r="I21" s="20">
        <v>98121</v>
      </c>
      <c r="J21" s="20">
        <f>SUM(D21:I21)</f>
        <v>1962415</v>
      </c>
      <c r="K21" s="20" t="s">
        <v>57</v>
      </c>
    </row>
    <row r="22" spans="2:11" ht="15" customHeight="1">
      <c r="B22" s="20" t="s">
        <v>73</v>
      </c>
      <c r="C22" s="20">
        <v>1767633</v>
      </c>
      <c r="D22" s="20">
        <v>765062</v>
      </c>
      <c r="E22" s="20">
        <v>612050</v>
      </c>
      <c r="F22" s="20">
        <v>393460</v>
      </c>
      <c r="G22" s="20">
        <v>109295</v>
      </c>
      <c r="H22" s="20">
        <v>196730</v>
      </c>
      <c r="I22" s="20">
        <v>109295</v>
      </c>
      <c r="J22" s="20">
        <f>SUM(D22:I22)</f>
        <v>2185892</v>
      </c>
      <c r="K22" s="20" t="s">
        <v>57</v>
      </c>
    </row>
    <row r="23" spans="2:11" ht="15" customHeight="1">
      <c r="B23" s="20" t="s">
        <v>74</v>
      </c>
      <c r="C23" s="20">
        <v>2469712</v>
      </c>
      <c r="D23" s="20">
        <v>1068934</v>
      </c>
      <c r="E23" s="20">
        <v>855147</v>
      </c>
      <c r="F23" s="20">
        <v>549737</v>
      </c>
      <c r="G23" s="20">
        <v>152705</v>
      </c>
      <c r="H23" s="20">
        <v>274869</v>
      </c>
      <c r="I23" s="20">
        <v>152705</v>
      </c>
      <c r="J23" s="20">
        <f>SUM(D23:I23)</f>
        <v>3054097</v>
      </c>
      <c r="K23" s="20" t="s">
        <v>57</v>
      </c>
    </row>
    <row r="24" spans="2:11" ht="15" customHeight="1">
      <c r="B24" s="20" t="s">
        <v>75</v>
      </c>
      <c r="C24" s="20">
        <v>2271686</v>
      </c>
      <c r="D24" s="20">
        <v>983225</v>
      </c>
      <c r="E24" s="20">
        <v>786580</v>
      </c>
      <c r="F24" s="20">
        <v>505658</v>
      </c>
      <c r="G24" s="20">
        <v>140461</v>
      </c>
      <c r="H24" s="20">
        <v>252829</v>
      </c>
      <c r="I24" s="20">
        <v>140461</v>
      </c>
      <c r="J24" s="20">
        <f>SUM(D24:I24)</f>
        <v>2809214</v>
      </c>
      <c r="K24" s="20" t="s">
        <v>57</v>
      </c>
    </row>
    <row r="25" spans="2:11" ht="15" customHeight="1">
      <c r="B25" s="20" t="s">
        <v>76</v>
      </c>
      <c r="C25" s="20">
        <v>1781777</v>
      </c>
      <c r="D25" s="20">
        <v>771184</v>
      </c>
      <c r="E25" s="20">
        <v>616947</v>
      </c>
      <c r="F25" s="20">
        <v>396609</v>
      </c>
      <c r="G25" s="20">
        <v>110169</v>
      </c>
      <c r="H25" s="20">
        <v>198304</v>
      </c>
      <c r="I25" s="20">
        <v>110169</v>
      </c>
      <c r="J25" s="20">
        <f>SUM(D25:I25)</f>
        <v>2203382</v>
      </c>
      <c r="K25" s="20" t="s">
        <v>57</v>
      </c>
    </row>
    <row r="26" spans="2:11">
      <c r="B26" s="21" t="s">
        <v>77</v>
      </c>
      <c r="C26" s="21">
        <v>2241105</v>
      </c>
      <c r="D26" s="21">
        <v>969989</v>
      </c>
      <c r="E26" s="21">
        <v>775991</v>
      </c>
      <c r="F26" s="21">
        <v>498851</v>
      </c>
      <c r="G26" s="21">
        <v>138570</v>
      </c>
      <c r="H26" s="21">
        <v>249426</v>
      </c>
      <c r="I26" s="21">
        <v>138570</v>
      </c>
      <c r="J26" s="21">
        <f>SUM(D26:I26)</f>
        <v>2771397</v>
      </c>
      <c r="K26" s="21" t="s">
        <v>57</v>
      </c>
    </row>
    <row r="27" spans="2:11" ht="15" customHeight="1">
      <c r="B27" s="22" t="s">
        <v>78</v>
      </c>
      <c r="C27" s="22">
        <v>1840043</v>
      </c>
      <c r="D27" s="22">
        <v>796402</v>
      </c>
      <c r="E27" s="22">
        <v>637122</v>
      </c>
      <c r="F27" s="22">
        <v>409578</v>
      </c>
      <c r="G27" s="22">
        <v>113772</v>
      </c>
      <c r="H27" s="22">
        <v>204789</v>
      </c>
      <c r="I27" s="22">
        <v>113772</v>
      </c>
      <c r="J27" s="22">
        <f>SUM(D27:I27)</f>
        <v>2275435</v>
      </c>
      <c r="K27" s="21" t="s">
        <v>57</v>
      </c>
    </row>
    <row r="28" spans="2:11">
      <c r="B28" s="21" t="s">
        <v>79</v>
      </c>
      <c r="C28" s="21">
        <v>2060654</v>
      </c>
      <c r="D28" s="21">
        <v>891886</v>
      </c>
      <c r="E28" s="21">
        <v>713509</v>
      </c>
      <c r="F28" s="21">
        <v>458684</v>
      </c>
      <c r="G28" s="21">
        <v>127412</v>
      </c>
      <c r="H28" s="21">
        <v>229342</v>
      </c>
      <c r="I28" s="21">
        <v>127412</v>
      </c>
      <c r="J28" s="21">
        <f>SUM(D28:I28)</f>
        <v>2548245</v>
      </c>
      <c r="K28" s="21" t="s">
        <v>57</v>
      </c>
    </row>
    <row r="29" spans="2:11">
      <c r="B29" s="21" t="s">
        <v>80</v>
      </c>
      <c r="C29" s="21">
        <v>1697308</v>
      </c>
      <c r="D29" s="21">
        <v>734624</v>
      </c>
      <c r="E29" s="21">
        <v>587699</v>
      </c>
      <c r="F29" s="21">
        <v>377807</v>
      </c>
      <c r="G29" s="21">
        <v>104946</v>
      </c>
      <c r="H29" s="21">
        <v>188903</v>
      </c>
      <c r="I29" s="21">
        <v>104946</v>
      </c>
      <c r="J29" s="21">
        <f>SUM(D29:I29)</f>
        <v>2098925</v>
      </c>
      <c r="K29" s="21" t="s">
        <v>57</v>
      </c>
    </row>
    <row r="30" spans="2:11">
      <c r="B30" s="21" t="s">
        <v>81</v>
      </c>
      <c r="C30" s="21">
        <v>2196984</v>
      </c>
      <c r="D30" s="21">
        <v>950892</v>
      </c>
      <c r="E30" s="21">
        <v>760714</v>
      </c>
      <c r="F30" s="21">
        <v>489030</v>
      </c>
      <c r="G30" s="21">
        <v>135842</v>
      </c>
      <c r="H30" s="21">
        <v>244515</v>
      </c>
      <c r="I30" s="21">
        <v>135842</v>
      </c>
      <c r="J30" s="21">
        <f>SUM(D30:I30)</f>
        <v>2716835</v>
      </c>
      <c r="K30" s="21" t="s">
        <v>57</v>
      </c>
    </row>
    <row r="31" spans="2:11">
      <c r="B31" s="21" t="s">
        <v>82</v>
      </c>
      <c r="C31" s="21">
        <v>1872951</v>
      </c>
      <c r="D31" s="21">
        <v>810645</v>
      </c>
      <c r="E31" s="21">
        <v>648516</v>
      </c>
      <c r="F31" s="21">
        <v>416903</v>
      </c>
      <c r="G31" s="21">
        <v>115806</v>
      </c>
      <c r="H31" s="21">
        <v>208452</v>
      </c>
      <c r="I31" s="21">
        <v>115806</v>
      </c>
      <c r="J31" s="21">
        <f>SUM(D31:I31)</f>
        <v>2316128</v>
      </c>
      <c r="K31" s="21" t="s">
        <v>57</v>
      </c>
    </row>
    <row r="33" spans="2:10">
      <c r="B33" s="21" t="s">
        <v>83</v>
      </c>
      <c r="C33" s="21">
        <f>SUM(C6:C31)</f>
        <v>48706868</v>
      </c>
      <c r="D33" s="21">
        <f>SUM(D6:D31)</f>
        <v>21081167</v>
      </c>
      <c r="E33" s="21">
        <f>SUM(E6:E31)</f>
        <v>16864935</v>
      </c>
      <c r="F33" s="21">
        <f>SUM(F6:F31)</f>
        <v>10841741</v>
      </c>
      <c r="G33" s="21">
        <f>SUM(G6:G31)</f>
        <v>3011598</v>
      </c>
      <c r="H33" s="21">
        <f>SUM(H6:H31)</f>
        <v>5420871</v>
      </c>
      <c r="I33" s="21">
        <f>SUM(I6:I31)</f>
        <v>3011598</v>
      </c>
      <c r="J33" s="21">
        <f>SUM(J6:J31)</f>
        <v>60231910</v>
      </c>
    </row>
  </sheetData>
  <mergeCells count="2">
    <mergeCell ref="A2:J2"/>
    <mergeCell ref="B3:K3"/>
  </mergeCell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H33"/>
  <sheetViews>
    <sheetView showGridLines="0" zoomScaleNormal="100" workbookViewId="0">
      <pane xSplit="2" ySplit="6" topLeftCell="C7" activePane="bottomRight" state="frozen"/>
      <selection pane="bottomRight"/>
      <selection pane="bottomLeft" activeCell="A7" sqref="A7"/>
      <selection pane="topRight" activeCell="C1" sqref="C1"/>
    </sheetView>
  </sheetViews>
  <sheetFormatPr defaultColWidth="8.7109375" defaultRowHeight="15"/>
  <cols>
    <col min="1" max="1" width="3" customWidth="1"/>
    <col min="2" max="2" width="16" customWidth="1"/>
    <col min="3" max="3" width="20" customWidth="1"/>
    <col min="4" max="4" width="13" customWidth="1"/>
    <col min="5" max="5" width="18" customWidth="1"/>
    <col min="6" max="6" width="16" customWidth="1"/>
    <col min="7" max="7" width="18" customWidth="1"/>
    <col min="8" max="8" width="30" customWidth="1"/>
  </cols>
  <sheetData>
    <row r="2" spans="1:8" ht="25.5" customHeight="1">
      <c r="A2" s="7" t="s">
        <v>84</v>
      </c>
      <c r="B2" s="7"/>
      <c r="C2" s="7"/>
      <c r="D2" s="7"/>
      <c r="E2" s="7"/>
      <c r="F2" s="7"/>
      <c r="G2" s="7"/>
    </row>
    <row r="3" spans="1:8" ht="15" customHeight="1">
      <c r="B3" s="27" t="s">
        <v>85</v>
      </c>
      <c r="C3" s="27"/>
      <c r="D3" s="27"/>
      <c r="E3" s="27"/>
      <c r="F3" s="27"/>
      <c r="G3" s="27"/>
      <c r="H3" s="27"/>
    </row>
    <row r="5" spans="1:8" ht="31.5" customHeight="1">
      <c r="B5" s="8" t="s">
        <v>46</v>
      </c>
      <c r="C5" s="8" t="s">
        <v>86</v>
      </c>
      <c r="D5" s="8" t="s">
        <v>87</v>
      </c>
      <c r="E5" s="8" t="s">
        <v>88</v>
      </c>
      <c r="F5" s="8" t="s">
        <v>89</v>
      </c>
      <c r="G5" s="8" t="s">
        <v>90</v>
      </c>
      <c r="H5" s="8" t="s">
        <v>91</v>
      </c>
    </row>
    <row r="6" spans="1:8" ht="23.25" customHeight="1">
      <c r="B6" s="20" t="s">
        <v>56</v>
      </c>
      <c r="C6" s="20">
        <f>IFERROR(INDEX('1_Generation_Inventory'!$J$6:$J$31,MATCH(B6,'1_Generation_Inventory'!$B$6:$B$31,0)),"")</f>
        <v>2710018</v>
      </c>
      <c r="D6" s="20">
        <v>1680211</v>
      </c>
      <c r="E6" s="20">
        <v>9</v>
      </c>
      <c r="F6" s="20">
        <v>1626011</v>
      </c>
      <c r="G6" s="20">
        <v>1680211</v>
      </c>
      <c r="H6" s="20" t="s">
        <v>92</v>
      </c>
    </row>
    <row r="7" spans="1:8" ht="15" customHeight="1">
      <c r="B7" s="20" t="s">
        <v>58</v>
      </c>
      <c r="C7" s="20">
        <f>IFERROR(INDEX('1_Generation_Inventory'!$J$6:$J$31,MATCH(B7,'1_Generation_Inventory'!$B$6:$B$31,0)),"")</f>
        <v>1144295</v>
      </c>
      <c r="D7" s="20">
        <v>709463</v>
      </c>
      <c r="E7" s="20">
        <v>4</v>
      </c>
      <c r="F7" s="20">
        <v>686577</v>
      </c>
      <c r="G7" s="20">
        <v>709463</v>
      </c>
      <c r="H7" s="20" t="s">
        <v>92</v>
      </c>
    </row>
    <row r="8" spans="1:8" ht="15" customHeight="1">
      <c r="B8" s="20" t="s">
        <v>59</v>
      </c>
      <c r="C8" s="20">
        <f>IFERROR(INDEX('1_Generation_Inventory'!$J$6:$J$31,MATCH(B8,'1_Generation_Inventory'!$B$6:$B$31,0)),"")</f>
        <v>2387680</v>
      </c>
      <c r="D8" s="20">
        <v>1480362</v>
      </c>
      <c r="E8" s="20">
        <v>8</v>
      </c>
      <c r="F8" s="20">
        <v>1432608</v>
      </c>
      <c r="G8" s="20">
        <v>1480362</v>
      </c>
      <c r="H8" s="20" t="s">
        <v>92</v>
      </c>
    </row>
    <row r="9" spans="1:8" ht="15" customHeight="1">
      <c r="B9" s="20" t="s">
        <v>60</v>
      </c>
      <c r="C9" s="20">
        <f>IFERROR(INDEX('1_Generation_Inventory'!$J$6:$J$31,MATCH(B9,'1_Generation_Inventory'!$B$6:$B$31,0)),"")</f>
        <v>2423212</v>
      </c>
      <c r="D9" s="20">
        <v>1502392</v>
      </c>
      <c r="E9" s="20">
        <v>8</v>
      </c>
      <c r="F9" s="20">
        <v>1453927</v>
      </c>
      <c r="G9" s="20">
        <v>1502392</v>
      </c>
      <c r="H9" s="20" t="s">
        <v>92</v>
      </c>
    </row>
    <row r="10" spans="1:8" ht="15" customHeight="1">
      <c r="B10" s="20" t="s">
        <v>61</v>
      </c>
      <c r="C10" s="20">
        <f>IFERROR(INDEX('1_Generation_Inventory'!$J$6:$J$31,MATCH(B10,'1_Generation_Inventory'!$B$6:$B$31,0)),"")</f>
        <v>746957</v>
      </c>
      <c r="D10" s="20">
        <v>463113</v>
      </c>
      <c r="E10" s="20">
        <v>2</v>
      </c>
      <c r="F10" s="20">
        <v>448174</v>
      </c>
      <c r="G10" s="20">
        <v>463113</v>
      </c>
      <c r="H10" s="20" t="s">
        <v>92</v>
      </c>
    </row>
    <row r="11" spans="1:8" ht="15" customHeight="1">
      <c r="B11" s="20" t="s">
        <v>62</v>
      </c>
      <c r="C11" s="20">
        <f>IFERROR(INDEX('1_Generation_Inventory'!$J$6:$J$31,MATCH(B11,'1_Generation_Inventory'!$B$6:$B$31,0)),"")</f>
        <v>2135641</v>
      </c>
      <c r="D11" s="20">
        <v>1324098</v>
      </c>
      <c r="E11" s="20">
        <v>7</v>
      </c>
      <c r="F11" s="20">
        <v>1281385</v>
      </c>
      <c r="G11" s="20">
        <v>1324098</v>
      </c>
      <c r="H11" s="20" t="s">
        <v>92</v>
      </c>
    </row>
    <row r="12" spans="1:8" ht="15" customHeight="1">
      <c r="B12" s="20" t="s">
        <v>63</v>
      </c>
      <c r="C12" s="20">
        <f>IFERROR(INDEX('1_Generation_Inventory'!$J$6:$J$31,MATCH(B12,'1_Generation_Inventory'!$B$6:$B$31,0)),"")</f>
        <v>2587473</v>
      </c>
      <c r="D12" s="20">
        <v>1604233</v>
      </c>
      <c r="E12" s="20">
        <v>8</v>
      </c>
      <c r="F12" s="20">
        <v>1552484</v>
      </c>
      <c r="G12" s="20">
        <v>1604233</v>
      </c>
      <c r="H12" s="20" t="s">
        <v>92</v>
      </c>
    </row>
    <row r="13" spans="1:8" ht="15" customHeight="1">
      <c r="B13" s="20" t="s">
        <v>64</v>
      </c>
      <c r="C13" s="20">
        <f>IFERROR(INDEX('1_Generation_Inventory'!$J$6:$J$31,MATCH(B13,'1_Generation_Inventory'!$B$6:$B$31,0)),"")</f>
        <v>2265900</v>
      </c>
      <c r="D13" s="20">
        <v>1404858</v>
      </c>
      <c r="E13" s="20">
        <v>7</v>
      </c>
      <c r="F13" s="20">
        <v>1359540</v>
      </c>
      <c r="G13" s="20">
        <v>1404858</v>
      </c>
      <c r="H13" s="20" t="s">
        <v>92</v>
      </c>
    </row>
    <row r="14" spans="1:8" ht="15" customHeight="1">
      <c r="B14" s="20" t="s">
        <v>65</v>
      </c>
      <c r="C14" s="20">
        <f>IFERROR(INDEX('1_Generation_Inventory'!$J$6:$J$31,MATCH(B14,'1_Generation_Inventory'!$B$6:$B$31,0)),"")</f>
        <v>2125865</v>
      </c>
      <c r="D14" s="20">
        <v>1318037</v>
      </c>
      <c r="E14" s="20">
        <v>7</v>
      </c>
      <c r="F14" s="20">
        <v>1275519</v>
      </c>
      <c r="G14" s="20">
        <v>1318037</v>
      </c>
      <c r="H14" s="20" t="s">
        <v>92</v>
      </c>
    </row>
    <row r="15" spans="1:8" ht="15" customHeight="1">
      <c r="B15" s="20" t="s">
        <v>66</v>
      </c>
      <c r="C15" s="20">
        <f>IFERROR(INDEX('1_Generation_Inventory'!$J$6:$J$31,MATCH(B15,'1_Generation_Inventory'!$B$6:$B$31,0)),"")</f>
        <v>2481572</v>
      </c>
      <c r="D15" s="20">
        <v>1538575</v>
      </c>
      <c r="E15" s="20">
        <v>8</v>
      </c>
      <c r="F15" s="20">
        <v>1488943</v>
      </c>
      <c r="G15" s="20">
        <v>1538575</v>
      </c>
      <c r="H15" s="20" t="s">
        <v>92</v>
      </c>
    </row>
    <row r="16" spans="1:8" ht="15" customHeight="1">
      <c r="B16" s="20" t="s">
        <v>67</v>
      </c>
      <c r="C16" s="20">
        <f>IFERROR(INDEX('1_Generation_Inventory'!$J$6:$J$31,MATCH(B16,'1_Generation_Inventory'!$B$6:$B$31,0)),"")</f>
        <v>2281439</v>
      </c>
      <c r="D16" s="20">
        <v>1414492</v>
      </c>
      <c r="E16" s="20">
        <v>7</v>
      </c>
      <c r="F16" s="20">
        <v>1368863</v>
      </c>
      <c r="G16" s="20">
        <v>1414492</v>
      </c>
      <c r="H16" s="20" t="s">
        <v>92</v>
      </c>
    </row>
    <row r="17" spans="2:8" ht="15" customHeight="1">
      <c r="B17" s="20" t="s">
        <v>68</v>
      </c>
      <c r="C17" s="20">
        <f>IFERROR(INDEX('1_Generation_Inventory'!$J$6:$J$31,MATCH(B17,'1_Generation_Inventory'!$B$6:$B$31,0)),"")</f>
        <v>2743555</v>
      </c>
      <c r="D17" s="20">
        <v>1701004</v>
      </c>
      <c r="E17" s="20">
        <v>9</v>
      </c>
      <c r="F17" s="20">
        <v>1646133</v>
      </c>
      <c r="G17" s="20">
        <v>1701004</v>
      </c>
      <c r="H17" s="20" t="s">
        <v>92</v>
      </c>
    </row>
    <row r="18" spans="2:8" ht="15" customHeight="1">
      <c r="B18" s="20" t="s">
        <v>69</v>
      </c>
      <c r="C18" s="20">
        <f>IFERROR(INDEX('1_Generation_Inventory'!$J$6:$J$31,MATCH(B18,'1_Generation_Inventory'!$B$6:$B$31,0)),"")</f>
        <v>2145635</v>
      </c>
      <c r="D18" s="20">
        <v>1330293</v>
      </c>
      <c r="E18" s="20">
        <v>7</v>
      </c>
      <c r="F18" s="20">
        <v>1287381</v>
      </c>
      <c r="G18" s="20">
        <v>1330293</v>
      </c>
      <c r="H18" s="20" t="s">
        <v>92</v>
      </c>
    </row>
    <row r="19" spans="2:8" ht="15" customHeight="1">
      <c r="B19" s="20" t="s">
        <v>70</v>
      </c>
      <c r="C19" s="20">
        <f>IFERROR(INDEX('1_Generation_Inventory'!$J$6:$J$31,MATCH(B19,'1_Generation_Inventory'!$B$6:$B$31,0)),"")</f>
        <v>2524837</v>
      </c>
      <c r="D19" s="20">
        <v>1565399</v>
      </c>
      <c r="E19" s="20">
        <v>8</v>
      </c>
      <c r="F19" s="20">
        <v>1514902</v>
      </c>
      <c r="G19" s="20">
        <v>1565399</v>
      </c>
      <c r="H19" s="20" t="s">
        <v>92</v>
      </c>
    </row>
    <row r="20" spans="2:8" ht="15" customHeight="1">
      <c r="B20" s="20" t="s">
        <v>71</v>
      </c>
      <c r="C20" s="20">
        <f>IFERROR(INDEX('1_Generation_Inventory'!$J$6:$J$31,MATCH(B20,'1_Generation_Inventory'!$B$6:$B$31,0)),"")</f>
        <v>2585866</v>
      </c>
      <c r="D20" s="20">
        <v>1603237</v>
      </c>
      <c r="E20" s="20">
        <v>8</v>
      </c>
      <c r="F20" s="20">
        <v>1551520</v>
      </c>
      <c r="G20" s="20">
        <v>1603237</v>
      </c>
      <c r="H20" s="20" t="s">
        <v>92</v>
      </c>
    </row>
    <row r="21" spans="2:8" ht="15" customHeight="1">
      <c r="B21" s="20" t="s">
        <v>72</v>
      </c>
      <c r="C21" s="20">
        <f>IFERROR(INDEX('1_Generation_Inventory'!$J$6:$J$31,MATCH(B21,'1_Generation_Inventory'!$B$6:$B$31,0)),"")</f>
        <v>1962415</v>
      </c>
      <c r="D21" s="20">
        <v>1216698</v>
      </c>
      <c r="E21" s="20">
        <v>6</v>
      </c>
      <c r="F21" s="20">
        <v>1177449</v>
      </c>
      <c r="G21" s="20">
        <v>1216698</v>
      </c>
      <c r="H21" s="20" t="s">
        <v>92</v>
      </c>
    </row>
    <row r="22" spans="2:8" ht="15" customHeight="1">
      <c r="B22" s="20" t="s">
        <v>73</v>
      </c>
      <c r="C22" s="20">
        <f>IFERROR(INDEX('1_Generation_Inventory'!$J$6:$J$31,MATCH(B22,'1_Generation_Inventory'!$B$6:$B$31,0)),"")</f>
        <v>2185892</v>
      </c>
      <c r="D22" s="20">
        <v>1355253</v>
      </c>
      <c r="E22" s="20">
        <v>7</v>
      </c>
      <c r="F22" s="20">
        <v>1311535</v>
      </c>
      <c r="G22" s="20">
        <v>1355253</v>
      </c>
      <c r="H22" s="20" t="s">
        <v>92</v>
      </c>
    </row>
    <row r="23" spans="2:8" ht="15" customHeight="1">
      <c r="B23" s="20" t="s">
        <v>74</v>
      </c>
      <c r="C23" s="20">
        <f>IFERROR(INDEX('1_Generation_Inventory'!$J$6:$J$31,MATCH(B23,'1_Generation_Inventory'!$B$6:$B$31,0)),"")</f>
        <v>3054097</v>
      </c>
      <c r="D23" s="20">
        <v>1893540</v>
      </c>
      <c r="E23" s="20">
        <v>10</v>
      </c>
      <c r="F23" s="20">
        <v>1832458</v>
      </c>
      <c r="G23" s="20">
        <v>1893540</v>
      </c>
      <c r="H23" s="20" t="s">
        <v>92</v>
      </c>
    </row>
    <row r="24" spans="2:8" ht="15" customHeight="1">
      <c r="B24" s="20" t="s">
        <v>75</v>
      </c>
      <c r="C24" s="20">
        <f>IFERROR(INDEX('1_Generation_Inventory'!$J$6:$J$31,MATCH(B24,'1_Generation_Inventory'!$B$6:$B$31,0)),"")</f>
        <v>2809214</v>
      </c>
      <c r="D24" s="20">
        <v>1741712</v>
      </c>
      <c r="E24" s="20">
        <v>9</v>
      </c>
      <c r="F24" s="20">
        <v>1685528</v>
      </c>
      <c r="G24" s="20">
        <v>1741712</v>
      </c>
      <c r="H24" s="20" t="s">
        <v>92</v>
      </c>
    </row>
    <row r="25" spans="2:8" ht="15" customHeight="1">
      <c r="B25" s="20" t="s">
        <v>76</v>
      </c>
      <c r="C25" s="20">
        <f>IFERROR(INDEX('1_Generation_Inventory'!$J$6:$J$31,MATCH(B25,'1_Generation_Inventory'!$B$6:$B$31,0)),"")</f>
        <v>2203382</v>
      </c>
      <c r="D25" s="20">
        <v>1366097</v>
      </c>
      <c r="E25" s="20">
        <v>7</v>
      </c>
      <c r="F25" s="20">
        <v>1322029</v>
      </c>
      <c r="G25" s="20">
        <v>1366097</v>
      </c>
      <c r="H25" s="20" t="s">
        <v>92</v>
      </c>
    </row>
    <row r="26" spans="2:8">
      <c r="B26" s="21" t="s">
        <v>77</v>
      </c>
      <c r="C26" s="21">
        <f>IFERROR(INDEX('1_Generation_Inventory'!$J$6:$J$31,MATCH(B26,'1_Generation_Inventory'!$B$6:$B$31,0)),"")</f>
        <v>2771397</v>
      </c>
      <c r="D26" s="21">
        <v>1718266</v>
      </c>
      <c r="E26" s="21">
        <v>9</v>
      </c>
      <c r="F26" s="21">
        <v>1662838</v>
      </c>
      <c r="G26" s="21">
        <v>1718266</v>
      </c>
      <c r="H26" s="21" t="s">
        <v>92</v>
      </c>
    </row>
    <row r="27" spans="2:8" ht="15" customHeight="1">
      <c r="B27" s="22" t="s">
        <v>78</v>
      </c>
      <c r="C27" s="22">
        <f>IFERROR(INDEX('1_Generation_Inventory'!$J$6:$J$31,MATCH(B27,'1_Generation_Inventory'!$B$6:$B$31,0)),"")</f>
        <v>2275435</v>
      </c>
      <c r="D27" s="22">
        <v>1410770</v>
      </c>
      <c r="E27" s="22">
        <v>7</v>
      </c>
      <c r="F27" s="22">
        <v>1365261</v>
      </c>
      <c r="G27" s="22">
        <v>1410770</v>
      </c>
      <c r="H27" s="21" t="s">
        <v>92</v>
      </c>
    </row>
    <row r="28" spans="2:8">
      <c r="B28" s="21" t="s">
        <v>79</v>
      </c>
      <c r="C28" s="21">
        <f>IFERROR(INDEX('1_Generation_Inventory'!$J$6:$J$31,MATCH(B28,'1_Generation_Inventory'!$B$6:$B$31,0)),"")</f>
        <v>2548245</v>
      </c>
      <c r="D28" s="21">
        <v>1579913</v>
      </c>
      <c r="E28" s="21">
        <v>8</v>
      </c>
      <c r="F28" s="21">
        <v>1528948</v>
      </c>
      <c r="G28" s="21">
        <v>1579913</v>
      </c>
      <c r="H28" s="21" t="s">
        <v>92</v>
      </c>
    </row>
    <row r="29" spans="2:8">
      <c r="B29" s="21" t="s">
        <v>80</v>
      </c>
      <c r="C29" s="21">
        <f>IFERROR(INDEX('1_Generation_Inventory'!$J$6:$J$31,MATCH(B29,'1_Generation_Inventory'!$B$6:$B$31,0)),"")</f>
        <v>2098925</v>
      </c>
      <c r="D29" s="21">
        <v>1301334</v>
      </c>
      <c r="E29" s="21">
        <v>7</v>
      </c>
      <c r="F29" s="21">
        <v>1259356</v>
      </c>
      <c r="G29" s="21">
        <v>1301334</v>
      </c>
      <c r="H29" s="21" t="s">
        <v>92</v>
      </c>
    </row>
    <row r="30" spans="2:8">
      <c r="B30" s="21" t="s">
        <v>81</v>
      </c>
      <c r="C30" s="21">
        <f>IFERROR(INDEX('1_Generation_Inventory'!$J$6:$J$31,MATCH(B30,'1_Generation_Inventory'!$B$6:$B$31,0)),"")</f>
        <v>2716835</v>
      </c>
      <c r="D30" s="21">
        <v>1684438</v>
      </c>
      <c r="E30" s="21">
        <v>9</v>
      </c>
      <c r="F30" s="21">
        <v>1630101</v>
      </c>
      <c r="G30" s="21">
        <v>1684438</v>
      </c>
      <c r="H30" s="21" t="s">
        <v>92</v>
      </c>
    </row>
    <row r="31" spans="2:8">
      <c r="B31" s="21" t="s">
        <v>82</v>
      </c>
      <c r="C31" s="21">
        <f>IFERROR(INDEX('1_Generation_Inventory'!$J$6:$J$31,MATCH(B31,'1_Generation_Inventory'!$B$6:$B$31,0)),"")</f>
        <v>2316128</v>
      </c>
      <c r="D31" s="21">
        <v>1436000</v>
      </c>
      <c r="E31" s="21">
        <v>7</v>
      </c>
      <c r="F31" s="21">
        <v>1389678</v>
      </c>
      <c r="G31" s="21">
        <v>1436000</v>
      </c>
      <c r="H31" s="21" t="s">
        <v>92</v>
      </c>
    </row>
    <row r="33" spans="2:7">
      <c r="B33" s="21" t="s">
        <v>83</v>
      </c>
      <c r="C33" s="21">
        <f>SUM(C6:C31)</f>
        <v>60231910</v>
      </c>
      <c r="D33" s="21">
        <f>SUM(D6:D31)</f>
        <v>37343788</v>
      </c>
      <c r="E33" s="21">
        <f>SUM(E6:E31)</f>
        <v>193</v>
      </c>
      <c r="F33" s="21">
        <f>SUM(F6:F31)</f>
        <v>36139148</v>
      </c>
      <c r="G33" s="21">
        <f>SUM(G6:G31)</f>
        <v>37343788</v>
      </c>
    </row>
  </sheetData>
  <mergeCells count="2">
    <mergeCell ref="A2:G2"/>
    <mergeCell ref="B3:H3"/>
  </mergeCells>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H28"/>
  <sheetViews>
    <sheetView showGridLines="0" tabSelected="1" zoomScaleNormal="100" workbookViewId="0">
      <pane xSplit="2" ySplit="6" topLeftCell="C7" activePane="bottomRight" state="frozen"/>
      <selection pane="bottomRight"/>
      <selection pane="bottomLeft" activeCell="A7" sqref="A7"/>
      <selection pane="topRight" activeCell="C1" sqref="C1"/>
    </sheetView>
  </sheetViews>
  <sheetFormatPr defaultColWidth="8.7109375" defaultRowHeight="15"/>
  <cols>
    <col min="1" max="1" width="3" customWidth="1"/>
    <col min="2" max="2" width="28" customWidth="1"/>
    <col min="3" max="3" width="22" customWidth="1"/>
    <col min="4" max="4" width="14" customWidth="1"/>
    <col min="5" max="5" width="16" customWidth="1"/>
    <col min="6" max="6" width="20" customWidth="1"/>
    <col min="7" max="8" width="18" customWidth="1"/>
  </cols>
  <sheetData>
    <row r="2" spans="1:8" ht="25.5" customHeight="1">
      <c r="A2" s="7" t="s">
        <v>93</v>
      </c>
      <c r="B2" s="7"/>
      <c r="C2" s="7"/>
      <c r="D2" s="7"/>
      <c r="E2" s="7"/>
      <c r="F2" s="7"/>
      <c r="G2" s="7"/>
    </row>
    <row r="3" spans="1:8" ht="15" customHeight="1">
      <c r="B3" s="27" t="s">
        <v>94</v>
      </c>
      <c r="C3" s="27"/>
      <c r="D3" s="27"/>
      <c r="E3" s="27"/>
      <c r="F3" s="27"/>
      <c r="G3" s="27"/>
      <c r="H3" s="27"/>
    </row>
    <row r="5" spans="1:8" ht="31.5" customHeight="1">
      <c r="B5" s="8" t="s">
        <v>95</v>
      </c>
      <c r="C5" s="8" t="s">
        <v>96</v>
      </c>
      <c r="D5" s="8" t="s">
        <v>46</v>
      </c>
      <c r="E5" s="8" t="s">
        <v>97</v>
      </c>
      <c r="F5" s="8" t="s">
        <v>98</v>
      </c>
      <c r="G5" s="8" t="s">
        <v>99</v>
      </c>
      <c r="H5" s="8" t="s">
        <v>100</v>
      </c>
    </row>
    <row r="6" spans="1:8" ht="23.25" customHeight="1">
      <c r="B6" s="20" t="s">
        <v>101</v>
      </c>
      <c r="C6" s="20" t="s">
        <v>102</v>
      </c>
      <c r="D6" s="20" t="s">
        <v>60</v>
      </c>
      <c r="E6" s="20">
        <v>480</v>
      </c>
      <c r="F6" s="20">
        <v>336</v>
      </c>
      <c r="G6" s="23">
        <v>0.8</v>
      </c>
      <c r="H6" s="20" t="s">
        <v>103</v>
      </c>
    </row>
    <row r="7" spans="1:8" ht="15" customHeight="1">
      <c r="B7" s="20" t="s">
        <v>104</v>
      </c>
      <c r="C7" s="20" t="s">
        <v>102</v>
      </c>
      <c r="D7" s="20" t="s">
        <v>56</v>
      </c>
      <c r="E7" s="20">
        <v>300</v>
      </c>
      <c r="F7" s="20">
        <v>210</v>
      </c>
      <c r="G7" s="23">
        <v>0.8</v>
      </c>
      <c r="H7" s="20" t="s">
        <v>103</v>
      </c>
    </row>
    <row r="8" spans="1:8" ht="15" customHeight="1">
      <c r="B8" s="20" t="s">
        <v>105</v>
      </c>
      <c r="C8" s="20" t="s">
        <v>102</v>
      </c>
      <c r="D8" s="20" t="s">
        <v>60</v>
      </c>
      <c r="E8" s="20">
        <v>5820</v>
      </c>
      <c r="F8" s="20">
        <v>4074</v>
      </c>
      <c r="G8" s="23">
        <v>0.8</v>
      </c>
      <c r="H8" s="20" t="s">
        <v>103</v>
      </c>
    </row>
    <row r="9" spans="1:8" ht="15" customHeight="1">
      <c r="B9" s="20" t="s">
        <v>106</v>
      </c>
      <c r="C9" s="20" t="s">
        <v>102</v>
      </c>
      <c r="D9" s="20" t="s">
        <v>77</v>
      </c>
      <c r="E9" s="20">
        <v>300</v>
      </c>
      <c r="F9" s="20">
        <v>210</v>
      </c>
      <c r="G9" s="23">
        <v>0.8</v>
      </c>
      <c r="H9" s="20" t="s">
        <v>103</v>
      </c>
    </row>
    <row r="10" spans="1:8" ht="15" customHeight="1">
      <c r="B10" s="20" t="s">
        <v>107</v>
      </c>
      <c r="C10" s="20" t="s">
        <v>102</v>
      </c>
      <c r="D10" s="20" t="s">
        <v>69</v>
      </c>
      <c r="E10" s="20">
        <v>22.5</v>
      </c>
      <c r="F10" s="20">
        <v>15.7</v>
      </c>
      <c r="G10" s="23">
        <v>0.8</v>
      </c>
      <c r="H10" s="20" t="s">
        <v>103</v>
      </c>
    </row>
    <row r="11" spans="1:8" ht="15" customHeight="1">
      <c r="B11" s="20" t="s">
        <v>108</v>
      </c>
      <c r="C11" s="20" t="s">
        <v>102</v>
      </c>
      <c r="D11" s="20" t="s">
        <v>77</v>
      </c>
      <c r="E11" s="20">
        <v>300</v>
      </c>
      <c r="F11" s="20">
        <v>210</v>
      </c>
      <c r="G11" s="23">
        <v>0.8</v>
      </c>
      <c r="H11" s="20" t="s">
        <v>103</v>
      </c>
    </row>
    <row r="12" spans="1:8" ht="15" customHeight="1">
      <c r="B12" s="20" t="s">
        <v>109</v>
      </c>
      <c r="C12" s="20" t="s">
        <v>102</v>
      </c>
      <c r="D12" s="20" t="s">
        <v>82</v>
      </c>
      <c r="E12" s="20">
        <v>6900</v>
      </c>
      <c r="F12" s="20">
        <v>4830</v>
      </c>
      <c r="G12" s="23">
        <v>0.8</v>
      </c>
      <c r="H12" s="20" t="s">
        <v>103</v>
      </c>
    </row>
    <row r="13" spans="1:8" ht="15" customHeight="1">
      <c r="B13" s="20" t="s">
        <v>110</v>
      </c>
      <c r="C13" s="20" t="s">
        <v>102</v>
      </c>
      <c r="D13" s="20" t="s">
        <v>82</v>
      </c>
      <c r="E13" s="20">
        <v>18000</v>
      </c>
      <c r="F13" s="20">
        <v>12600</v>
      </c>
      <c r="G13" s="23">
        <v>0.8</v>
      </c>
      <c r="H13" s="20" t="s">
        <v>103</v>
      </c>
    </row>
    <row r="14" spans="1:8" ht="15" customHeight="1">
      <c r="B14" s="20" t="s">
        <v>111</v>
      </c>
      <c r="C14" s="20" t="s">
        <v>102</v>
      </c>
      <c r="D14" s="20" t="s">
        <v>77</v>
      </c>
      <c r="E14" s="20">
        <v>10380</v>
      </c>
      <c r="F14" s="20">
        <v>7266</v>
      </c>
      <c r="G14" s="23">
        <v>0.8</v>
      </c>
      <c r="H14" s="20" t="s">
        <v>103</v>
      </c>
    </row>
    <row r="15" spans="1:8" ht="15" customHeight="1">
      <c r="B15" s="20" t="s">
        <v>112</v>
      </c>
      <c r="C15" s="20" t="s">
        <v>102</v>
      </c>
      <c r="D15" s="20" t="s">
        <v>60</v>
      </c>
      <c r="E15" s="20">
        <v>1500</v>
      </c>
      <c r="F15" s="20">
        <v>1050</v>
      </c>
      <c r="G15" s="23">
        <v>0.8</v>
      </c>
      <c r="H15" s="20" t="s">
        <v>103</v>
      </c>
    </row>
    <row r="16" spans="1:8" ht="15" customHeight="1">
      <c r="B16" s="24"/>
      <c r="C16" s="24"/>
      <c r="D16" s="24"/>
      <c r="E16" s="24"/>
      <c r="F16" s="24"/>
      <c r="G16" s="25"/>
      <c r="H16" s="24"/>
    </row>
    <row r="17" spans="2:8" ht="15" customHeight="1">
      <c r="B17" s="24"/>
      <c r="C17" s="24"/>
      <c r="D17" s="24"/>
      <c r="E17" s="24"/>
      <c r="F17" s="24"/>
      <c r="G17" s="25"/>
      <c r="H17" s="24"/>
    </row>
    <row r="18" spans="2:8" ht="15" customHeight="1">
      <c r="B18" s="24"/>
      <c r="C18" s="24"/>
      <c r="D18" s="24"/>
      <c r="E18" s="24"/>
      <c r="F18" s="24"/>
      <c r="G18" s="25"/>
      <c r="H18" s="24"/>
    </row>
    <row r="19" spans="2:8" ht="15" customHeight="1">
      <c r="B19" s="24"/>
      <c r="C19" s="24"/>
      <c r="D19" s="24"/>
      <c r="E19" s="24"/>
      <c r="F19" s="24"/>
      <c r="G19" s="25"/>
      <c r="H19" s="24"/>
    </row>
    <row r="20" spans="2:8" ht="15" customHeight="1">
      <c r="B20" s="24"/>
      <c r="C20" s="24"/>
      <c r="D20" s="24"/>
      <c r="E20" s="24"/>
      <c r="F20" s="24"/>
      <c r="G20" s="25"/>
      <c r="H20" s="24"/>
    </row>
    <row r="21" spans="2:8" ht="15" customHeight="1">
      <c r="B21" s="24"/>
      <c r="C21" s="24"/>
      <c r="D21" s="24"/>
      <c r="E21" s="24"/>
      <c r="F21" s="24"/>
      <c r="G21" s="25"/>
      <c r="H21" s="24"/>
    </row>
    <row r="22" spans="2:8" ht="15" customHeight="1">
      <c r="B22" s="24"/>
      <c r="C22" s="24"/>
      <c r="D22" s="24"/>
      <c r="E22" s="24"/>
      <c r="F22" s="24"/>
      <c r="G22" s="25"/>
      <c r="H22" s="24"/>
    </row>
    <row r="23" spans="2:8" ht="15" customHeight="1">
      <c r="B23" s="24"/>
      <c r="C23" s="24"/>
      <c r="D23" s="24"/>
      <c r="E23" s="24"/>
      <c r="F23" s="24"/>
      <c r="G23" s="25"/>
      <c r="H23" s="24"/>
    </row>
    <row r="24" spans="2:8" ht="15" customHeight="1">
      <c r="B24" s="24"/>
      <c r="C24" s="24"/>
      <c r="D24" s="24"/>
      <c r="E24" s="24"/>
      <c r="F24" s="24"/>
      <c r="G24" s="25"/>
      <c r="H24" s="24"/>
    </row>
    <row r="25" spans="2:8" ht="15" customHeight="1">
      <c r="B25" s="24"/>
      <c r="C25" s="24"/>
      <c r="D25" s="24"/>
      <c r="E25" s="24"/>
      <c r="F25" s="24"/>
      <c r="G25" s="25"/>
      <c r="H25" s="24"/>
    </row>
    <row r="26" spans="2:8" ht="15" customHeight="1">
      <c r="B26" s="24"/>
      <c r="C26" s="24"/>
      <c r="D26" s="24"/>
      <c r="E26" s="24"/>
      <c r="F26" s="24"/>
      <c r="G26" s="25"/>
      <c r="H26" s="24"/>
    </row>
    <row r="28" spans="2:8" ht="15" customHeight="1">
      <c r="B28" s="16" t="s">
        <v>83</v>
      </c>
      <c r="D28" s="16">
        <f>SUM(D6:D26)</f>
        <v>0</v>
      </c>
      <c r="E28" s="16">
        <f>SUM(E6:E26)</f>
        <v>44002.5</v>
      </c>
      <c r="F28" s="26">
        <f>IFERROR(AVERAGE(F6:F26),0)</f>
        <v>3080.17</v>
      </c>
    </row>
  </sheetData>
  <mergeCells count="2">
    <mergeCell ref="A2:G2"/>
    <mergeCell ref="B3:H3"/>
  </mergeCells>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I33"/>
  <sheetViews>
    <sheetView showGridLines="0" zoomScaleNormal="100" workbookViewId="0">
      <pane xSplit="2" ySplit="6" topLeftCell="C7" activePane="bottomRight" state="frozen"/>
      <selection pane="bottomRight"/>
      <selection pane="bottomLeft" activeCell="A7" sqref="A7"/>
      <selection pane="topRight" activeCell="C1" sqref="C1"/>
    </sheetView>
  </sheetViews>
  <sheetFormatPr defaultColWidth="8.7109375" defaultRowHeight="15"/>
  <cols>
    <col min="1" max="1" width="3" customWidth="1"/>
    <col min="2" max="2" width="26" customWidth="1"/>
    <col min="3" max="3" width="20" customWidth="1"/>
    <col min="4" max="4" width="18" customWidth="1"/>
    <col min="5" max="5" width="16" customWidth="1"/>
    <col min="6" max="6" width="18" customWidth="1"/>
    <col min="7" max="7" width="22" customWidth="1"/>
    <col min="8" max="8" width="18" customWidth="1"/>
    <col min="9" max="9" width="28" customWidth="1"/>
  </cols>
  <sheetData>
    <row r="2" spans="1:9" ht="25.5" customHeight="1">
      <c r="A2" s="7" t="s">
        <v>113</v>
      </c>
      <c r="B2" s="7"/>
      <c r="C2" s="7"/>
      <c r="D2" s="7"/>
      <c r="E2" s="7"/>
      <c r="F2" s="7"/>
      <c r="G2" s="7"/>
      <c r="H2" s="7"/>
    </row>
    <row r="3" spans="1:9" ht="15" customHeight="1">
      <c r="B3" s="27" t="s">
        <v>114</v>
      </c>
      <c r="C3" s="27"/>
      <c r="D3" s="27"/>
      <c r="E3" s="27"/>
      <c r="F3" s="27"/>
      <c r="G3" s="27"/>
      <c r="H3" s="27"/>
      <c r="I3" s="27"/>
    </row>
    <row r="5" spans="1:9" ht="31.5" customHeight="1">
      <c r="B5" s="8" t="s">
        <v>115</v>
      </c>
      <c r="C5" s="8" t="s">
        <v>116</v>
      </c>
      <c r="D5" s="8" t="s">
        <v>117</v>
      </c>
      <c r="E5" s="8" t="s">
        <v>118</v>
      </c>
      <c r="F5" s="8" t="s">
        <v>119</v>
      </c>
      <c r="G5" s="8" t="s">
        <v>120</v>
      </c>
      <c r="H5" s="8" t="s">
        <v>121</v>
      </c>
      <c r="I5" s="8" t="s">
        <v>91</v>
      </c>
    </row>
    <row r="6" spans="1:9" ht="15" customHeight="1">
      <c r="B6" s="20" t="s">
        <v>122</v>
      </c>
      <c r="C6" s="20" t="s">
        <v>123</v>
      </c>
      <c r="D6" s="20" t="s">
        <v>124</v>
      </c>
      <c r="E6" s="20" t="s">
        <v>125</v>
      </c>
      <c r="F6" s="20" t="s">
        <v>125</v>
      </c>
      <c r="G6" s="20" t="s">
        <v>126</v>
      </c>
      <c r="H6" s="20" t="s">
        <v>127</v>
      </c>
      <c r="I6" s="20" t="s">
        <v>128</v>
      </c>
    </row>
    <row r="7" spans="1:9" ht="15" customHeight="1">
      <c r="B7" s="20" t="s">
        <v>129</v>
      </c>
      <c r="C7" s="20" t="s">
        <v>130</v>
      </c>
      <c r="D7" s="20" t="s">
        <v>124</v>
      </c>
      <c r="E7" s="20" t="s">
        <v>125</v>
      </c>
      <c r="F7" s="20" t="s">
        <v>125</v>
      </c>
      <c r="G7" s="20" t="s">
        <v>126</v>
      </c>
      <c r="H7" s="20" t="s">
        <v>127</v>
      </c>
      <c r="I7" s="20" t="s">
        <v>128</v>
      </c>
    </row>
    <row r="8" spans="1:9" ht="15" customHeight="1">
      <c r="B8" s="20" t="s">
        <v>131</v>
      </c>
      <c r="C8" s="20" t="s">
        <v>132</v>
      </c>
      <c r="D8" s="20" t="s">
        <v>133</v>
      </c>
      <c r="E8" s="20" t="s">
        <v>125</v>
      </c>
      <c r="F8" s="20" t="s">
        <v>125</v>
      </c>
      <c r="G8" s="20" t="s">
        <v>125</v>
      </c>
      <c r="H8" s="20" t="s">
        <v>126</v>
      </c>
      <c r="I8" s="20" t="s">
        <v>128</v>
      </c>
    </row>
    <row r="9" spans="1:9" ht="15" customHeight="1">
      <c r="B9" s="20" t="s">
        <v>134</v>
      </c>
      <c r="C9" s="20" t="s">
        <v>135</v>
      </c>
      <c r="D9" s="20" t="s">
        <v>124</v>
      </c>
      <c r="E9" s="20" t="s">
        <v>125</v>
      </c>
      <c r="F9" s="20" t="s">
        <v>126</v>
      </c>
      <c r="G9" s="20" t="s">
        <v>126</v>
      </c>
      <c r="H9" s="20" t="s">
        <v>127</v>
      </c>
      <c r="I9" s="20" t="s">
        <v>128</v>
      </c>
    </row>
    <row r="10" spans="1:9" ht="15" customHeight="1">
      <c r="B10" s="20" t="s">
        <v>136</v>
      </c>
      <c r="C10" s="20" t="s">
        <v>137</v>
      </c>
      <c r="D10" s="20" t="s">
        <v>138</v>
      </c>
      <c r="E10" s="20" t="s">
        <v>125</v>
      </c>
      <c r="F10" s="20" t="s">
        <v>125</v>
      </c>
      <c r="G10" s="20" t="s">
        <v>125</v>
      </c>
      <c r="H10" s="20" t="s">
        <v>125</v>
      </c>
      <c r="I10" s="20" t="s">
        <v>128</v>
      </c>
    </row>
    <row r="11" spans="1:9" ht="15" customHeight="1">
      <c r="B11" s="20" t="s">
        <v>139</v>
      </c>
      <c r="C11" s="20" t="s">
        <v>140</v>
      </c>
      <c r="D11" s="20" t="s">
        <v>124</v>
      </c>
      <c r="E11" s="20" t="s">
        <v>126</v>
      </c>
      <c r="F11" s="20" t="s">
        <v>126</v>
      </c>
      <c r="G11" s="20" t="s">
        <v>126</v>
      </c>
      <c r="H11" s="20" t="s">
        <v>127</v>
      </c>
      <c r="I11" s="20" t="s">
        <v>128</v>
      </c>
    </row>
    <row r="12" spans="1:9" ht="15" customHeight="1">
      <c r="B12" s="24"/>
      <c r="C12" s="24"/>
      <c r="D12" s="24"/>
      <c r="E12" s="24"/>
      <c r="F12" s="24"/>
      <c r="G12" s="24"/>
      <c r="H12" s="24"/>
      <c r="I12" s="24"/>
    </row>
    <row r="13" spans="1:9" ht="15" customHeight="1">
      <c r="B13" s="24"/>
      <c r="C13" s="24"/>
      <c r="D13" s="24"/>
      <c r="E13" s="24"/>
      <c r="F13" s="24"/>
      <c r="G13" s="24"/>
      <c r="H13" s="24"/>
      <c r="I13" s="24"/>
    </row>
    <row r="14" spans="1:9" ht="15" customHeight="1">
      <c r="B14" s="24"/>
      <c r="C14" s="24"/>
      <c r="D14" s="24"/>
      <c r="E14" s="24"/>
      <c r="F14" s="24"/>
      <c r="G14" s="24"/>
      <c r="H14" s="24"/>
      <c r="I14" s="24"/>
    </row>
    <row r="15" spans="1:9" ht="15" customHeight="1">
      <c r="B15" s="24"/>
      <c r="C15" s="24"/>
      <c r="D15" s="24"/>
      <c r="E15" s="24"/>
      <c r="F15" s="24"/>
      <c r="G15" s="24"/>
      <c r="H15" s="24"/>
      <c r="I15" s="24"/>
    </row>
    <row r="16" spans="1:9" ht="15" customHeight="1">
      <c r="B16" s="24"/>
      <c r="C16" s="24"/>
      <c r="D16" s="24"/>
      <c r="E16" s="24"/>
      <c r="F16" s="24"/>
      <c r="G16" s="24"/>
      <c r="H16" s="24"/>
      <c r="I16" s="24"/>
    </row>
    <row r="17" spans="2:9" ht="15" customHeight="1">
      <c r="B17" s="24"/>
      <c r="C17" s="24"/>
      <c r="D17" s="24"/>
      <c r="E17" s="24"/>
      <c r="F17" s="24"/>
      <c r="G17" s="24"/>
      <c r="H17" s="24"/>
      <c r="I17" s="24"/>
    </row>
    <row r="18" spans="2:9" ht="15" customHeight="1">
      <c r="B18" s="24"/>
      <c r="C18" s="24"/>
      <c r="D18" s="24"/>
      <c r="E18" s="24"/>
      <c r="F18" s="24"/>
      <c r="G18" s="24"/>
      <c r="H18" s="24"/>
      <c r="I18" s="24"/>
    </row>
    <row r="19" spans="2:9" ht="15" customHeight="1">
      <c r="B19" s="24"/>
      <c r="C19" s="24"/>
      <c r="D19" s="24"/>
      <c r="E19" s="24"/>
      <c r="F19" s="24"/>
      <c r="G19" s="24"/>
      <c r="H19" s="24"/>
      <c r="I19" s="24"/>
    </row>
    <row r="20" spans="2:9" ht="15" customHeight="1">
      <c r="B20" s="24"/>
      <c r="C20" s="24"/>
      <c r="D20" s="24"/>
      <c r="E20" s="24"/>
      <c r="F20" s="24"/>
      <c r="G20" s="24"/>
      <c r="H20" s="24"/>
      <c r="I20" s="24"/>
    </row>
    <row r="21" spans="2:9" ht="15" customHeight="1">
      <c r="B21" s="24"/>
      <c r="C21" s="24"/>
      <c r="D21" s="24"/>
      <c r="E21" s="24"/>
      <c r="F21" s="24"/>
      <c r="G21" s="24"/>
      <c r="H21" s="24"/>
      <c r="I21" s="24"/>
    </row>
    <row r="22" spans="2:9" ht="15" customHeight="1">
      <c r="B22" s="24"/>
      <c r="C22" s="24"/>
      <c r="D22" s="24"/>
      <c r="E22" s="24"/>
      <c r="F22" s="24"/>
      <c r="G22" s="24"/>
      <c r="H22" s="24"/>
      <c r="I22" s="24"/>
    </row>
    <row r="23" spans="2:9" ht="15" customHeight="1">
      <c r="B23" s="24"/>
      <c r="C23" s="24"/>
      <c r="D23" s="24"/>
      <c r="E23" s="24"/>
      <c r="F23" s="24"/>
      <c r="G23" s="24"/>
      <c r="H23" s="24"/>
      <c r="I23" s="24"/>
    </row>
    <row r="24" spans="2:9" ht="15" customHeight="1">
      <c r="B24" s="24"/>
      <c r="C24" s="24"/>
      <c r="D24" s="24"/>
      <c r="E24" s="24"/>
      <c r="F24" s="24"/>
      <c r="G24" s="24"/>
      <c r="H24" s="24"/>
      <c r="I24" s="24"/>
    </row>
    <row r="25" spans="2:9" ht="15" customHeight="1">
      <c r="B25" s="24"/>
      <c r="C25" s="24"/>
      <c r="D25" s="24"/>
      <c r="E25" s="24"/>
      <c r="F25" s="24"/>
      <c r="G25" s="24"/>
      <c r="H25" s="24"/>
      <c r="I25" s="24"/>
    </row>
    <row r="26" spans="2:9" ht="15" customHeight="1">
      <c r="B26" s="24"/>
      <c r="C26" s="24"/>
      <c r="D26" s="24"/>
      <c r="E26" s="24"/>
      <c r="F26" s="24"/>
      <c r="G26" s="24"/>
      <c r="H26" s="24"/>
      <c r="I26" s="24"/>
    </row>
    <row r="28" spans="2:9" ht="15" customHeight="1">
      <c r="B28" s="16" t="s">
        <v>124</v>
      </c>
      <c r="C28" s="16">
        <f>COUNTIF(D6:D26,"Compliant")</f>
        <v>4</v>
      </c>
    </row>
    <row r="29" spans="2:9" ht="15" customHeight="1">
      <c r="B29" s="16" t="s">
        <v>141</v>
      </c>
      <c r="C29" s="16">
        <f>COUNTA(B6:B26)</f>
        <v>6</v>
      </c>
    </row>
    <row r="30" spans="2:9" ht="15" customHeight="1">
      <c r="B30" s="16" t="s">
        <v>142</v>
      </c>
      <c r="C30" s="16">
        <f>COUNTIF(E6:E26,"Yes")</f>
        <v>5</v>
      </c>
    </row>
    <row r="31" spans="2:9" ht="15" customHeight="1">
      <c r="B31" s="16" t="s">
        <v>143</v>
      </c>
      <c r="C31" s="16">
        <f>COUNTIF(F6:F26,"Yes")</f>
        <v>4</v>
      </c>
    </row>
    <row r="32" spans="2:9" ht="15" customHeight="1">
      <c r="B32" s="16" t="s">
        <v>144</v>
      </c>
      <c r="C32" s="16">
        <f>COUNTIF(G6:G26,"Yes")</f>
        <v>2</v>
      </c>
    </row>
    <row r="33" spans="2:3" ht="15" customHeight="1">
      <c r="B33" s="16" t="s">
        <v>145</v>
      </c>
      <c r="C33" s="16">
        <f>COUNTIF(H6:H26,"Yes")</f>
        <v>1</v>
      </c>
    </row>
  </sheetData>
  <mergeCells count="2">
    <mergeCell ref="A2:H2"/>
    <mergeCell ref="B3:I3"/>
  </mergeCells>
  <dataValidations count="2">
    <dataValidation type="list" allowBlank="1" sqref="D7:D26" xr:uid="{00000000-0002-0000-0500-000000000000}">
      <formula1>"Compliant,Non-compliant,Under Review"</formula1>
      <formula2>0</formula2>
    </dataValidation>
    <dataValidation type="list" allowBlank="1" sqref="E7:H26" xr:uid="{00000000-0002-0000-0500-000001000000}">
      <formula1>"Yes,No,N/A"</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31"/>
  <sheetViews>
    <sheetView showGridLines="0" zoomScaleNormal="100" workbookViewId="0">
      <pane xSplit="2" ySplit="6" topLeftCell="C7" activePane="bottomRight" state="frozen"/>
      <selection pane="bottomRight"/>
      <selection pane="bottomLeft" activeCell="A7" sqref="A7"/>
      <selection pane="topRight" activeCell="C1" sqref="C1"/>
    </sheetView>
  </sheetViews>
  <sheetFormatPr defaultColWidth="8.7109375" defaultRowHeight="15"/>
  <cols>
    <col min="1" max="1" width="3" customWidth="1"/>
    <col min="2" max="2" width="30" customWidth="1"/>
    <col min="3" max="3" width="16" customWidth="1"/>
    <col min="4" max="5" width="20" customWidth="1"/>
    <col min="6" max="6" width="22" customWidth="1"/>
    <col min="7" max="7" width="32" customWidth="1"/>
    <col min="8" max="8" width="24" customWidth="1"/>
  </cols>
  <sheetData>
    <row r="2" spans="1:8" ht="25.5" customHeight="1">
      <c r="A2" s="7" t="s">
        <v>146</v>
      </c>
      <c r="B2" s="7"/>
      <c r="C2" s="7"/>
      <c r="D2" s="7"/>
      <c r="E2" s="7"/>
      <c r="F2" s="7"/>
      <c r="G2" s="7"/>
    </row>
    <row r="3" spans="1:8" ht="15" customHeight="1">
      <c r="B3" s="27" t="s">
        <v>147</v>
      </c>
      <c r="C3" s="27"/>
      <c r="D3" s="27"/>
      <c r="E3" s="27"/>
      <c r="F3" s="27"/>
      <c r="G3" s="27"/>
      <c r="H3" s="27"/>
    </row>
    <row r="5" spans="1:8" ht="31.5" customHeight="1">
      <c r="B5" s="8" t="s">
        <v>148</v>
      </c>
      <c r="C5" s="8" t="s">
        <v>46</v>
      </c>
      <c r="D5" s="8" t="s">
        <v>149</v>
      </c>
      <c r="E5" s="8" t="s">
        <v>150</v>
      </c>
      <c r="F5" s="8" t="s">
        <v>151</v>
      </c>
      <c r="G5" s="8" t="s">
        <v>152</v>
      </c>
      <c r="H5" s="8" t="s">
        <v>91</v>
      </c>
    </row>
    <row r="6" spans="1:8" ht="34.5" customHeight="1">
      <c r="B6" s="20" t="s">
        <v>153</v>
      </c>
      <c r="C6" s="20" t="s">
        <v>60</v>
      </c>
      <c r="D6" s="20" t="s">
        <v>154</v>
      </c>
      <c r="E6" s="20">
        <v>70</v>
      </c>
      <c r="F6" s="20">
        <v>25</v>
      </c>
      <c r="G6" s="20" t="s">
        <v>155</v>
      </c>
      <c r="H6" s="20" t="s">
        <v>128</v>
      </c>
    </row>
    <row r="7" spans="1:8" ht="15" customHeight="1">
      <c r="B7" s="20" t="s">
        <v>156</v>
      </c>
      <c r="C7" s="20" t="s">
        <v>68</v>
      </c>
      <c r="D7" s="20" t="s">
        <v>157</v>
      </c>
      <c r="E7" s="20">
        <v>90</v>
      </c>
      <c r="F7" s="20">
        <v>10</v>
      </c>
      <c r="G7" s="20" t="s">
        <v>155</v>
      </c>
      <c r="H7" s="20" t="s">
        <v>128</v>
      </c>
    </row>
    <row r="8" spans="1:8" ht="15" customHeight="1">
      <c r="B8" s="20" t="s">
        <v>158</v>
      </c>
      <c r="C8" s="20" t="s">
        <v>71</v>
      </c>
      <c r="D8" s="20" t="s">
        <v>154</v>
      </c>
      <c r="E8" s="20">
        <v>55</v>
      </c>
      <c r="F8" s="20">
        <v>20</v>
      </c>
      <c r="G8" s="20" t="s">
        <v>155</v>
      </c>
      <c r="H8" s="20" t="s">
        <v>128</v>
      </c>
    </row>
    <row r="9" spans="1:8" ht="15" customHeight="1">
      <c r="B9" s="20" t="s">
        <v>159</v>
      </c>
      <c r="C9" s="20" t="s">
        <v>75</v>
      </c>
      <c r="D9" s="20" t="s">
        <v>157</v>
      </c>
      <c r="E9" s="20">
        <v>40</v>
      </c>
      <c r="F9" s="20">
        <v>0</v>
      </c>
      <c r="G9" s="20" t="s">
        <v>155</v>
      </c>
      <c r="H9" s="20" t="s">
        <v>128</v>
      </c>
    </row>
    <row r="10" spans="1:8" ht="15" customHeight="1">
      <c r="B10" s="20" t="s">
        <v>160</v>
      </c>
      <c r="C10" s="20" t="s">
        <v>82</v>
      </c>
      <c r="D10" s="20" t="s">
        <v>161</v>
      </c>
      <c r="E10" s="20">
        <v>30</v>
      </c>
      <c r="F10" s="20">
        <v>30</v>
      </c>
      <c r="G10" s="20" t="s">
        <v>155</v>
      </c>
      <c r="H10" s="20" t="s">
        <v>128</v>
      </c>
    </row>
    <row r="11" spans="1:8" ht="15" customHeight="1">
      <c r="B11" s="24"/>
      <c r="C11" s="24"/>
      <c r="D11" s="24"/>
      <c r="E11" s="24"/>
      <c r="F11" s="24"/>
      <c r="G11" s="24"/>
      <c r="H11" s="24"/>
    </row>
    <row r="12" spans="1:8" ht="15" customHeight="1">
      <c r="B12" s="24"/>
      <c r="C12" s="24"/>
      <c r="D12" s="24"/>
      <c r="E12" s="24"/>
      <c r="F12" s="24"/>
      <c r="G12" s="24"/>
      <c r="H12" s="24"/>
    </row>
    <row r="13" spans="1:8" ht="15" customHeight="1">
      <c r="B13" s="24"/>
      <c r="C13" s="24"/>
      <c r="D13" s="24"/>
      <c r="E13" s="24"/>
      <c r="F13" s="24"/>
      <c r="G13" s="24"/>
      <c r="H13" s="24"/>
    </row>
    <row r="14" spans="1:8" ht="15" customHeight="1">
      <c r="B14" s="24"/>
      <c r="C14" s="24"/>
      <c r="D14" s="24"/>
      <c r="E14" s="24"/>
      <c r="F14" s="24"/>
      <c r="G14" s="24"/>
      <c r="H14" s="24"/>
    </row>
    <row r="15" spans="1:8" ht="15" customHeight="1">
      <c r="B15" s="24"/>
      <c r="C15" s="24"/>
      <c r="D15" s="24"/>
      <c r="E15" s="24"/>
      <c r="F15" s="24"/>
      <c r="G15" s="24"/>
      <c r="H15" s="24"/>
    </row>
    <row r="16" spans="1:8" ht="15" customHeight="1">
      <c r="B16" s="24"/>
      <c r="C16" s="24"/>
      <c r="D16" s="24"/>
      <c r="E16" s="24"/>
      <c r="F16" s="24"/>
      <c r="G16" s="24"/>
      <c r="H16" s="24"/>
    </row>
    <row r="17" spans="2:8" ht="15" customHeight="1">
      <c r="B17" s="24"/>
      <c r="C17" s="24"/>
      <c r="D17" s="24"/>
      <c r="E17" s="24"/>
      <c r="F17" s="24"/>
      <c r="G17" s="24"/>
      <c r="H17" s="24"/>
    </row>
    <row r="18" spans="2:8" ht="15" customHeight="1">
      <c r="B18" s="24"/>
      <c r="C18" s="24"/>
      <c r="D18" s="24"/>
      <c r="E18" s="24"/>
      <c r="F18" s="24"/>
      <c r="G18" s="24"/>
      <c r="H18" s="24"/>
    </row>
    <row r="19" spans="2:8" ht="15" customHeight="1">
      <c r="B19" s="24"/>
      <c r="C19" s="24"/>
      <c r="D19" s="24"/>
      <c r="E19" s="24"/>
      <c r="F19" s="24"/>
      <c r="G19" s="24"/>
      <c r="H19" s="24"/>
    </row>
    <row r="20" spans="2:8" ht="15" customHeight="1">
      <c r="B20" s="24"/>
      <c r="C20" s="24"/>
      <c r="D20" s="24"/>
      <c r="E20" s="24"/>
      <c r="F20" s="24"/>
      <c r="G20" s="24"/>
      <c r="H20" s="24"/>
    </row>
    <row r="21" spans="2:8" ht="15" customHeight="1">
      <c r="B21" s="24"/>
      <c r="C21" s="24"/>
      <c r="D21" s="24"/>
      <c r="E21" s="24"/>
      <c r="F21" s="24"/>
      <c r="G21" s="24"/>
      <c r="H21" s="24"/>
    </row>
    <row r="22" spans="2:8" ht="15" customHeight="1">
      <c r="B22" s="24"/>
      <c r="C22" s="24"/>
      <c r="D22" s="24"/>
      <c r="E22" s="24"/>
      <c r="F22" s="24"/>
      <c r="G22" s="24"/>
      <c r="H22" s="24"/>
    </row>
    <row r="23" spans="2:8" ht="15" customHeight="1">
      <c r="B23" s="24"/>
      <c r="C23" s="24"/>
      <c r="D23" s="24"/>
      <c r="E23" s="24"/>
      <c r="F23" s="24"/>
      <c r="G23" s="24"/>
      <c r="H23" s="24"/>
    </row>
    <row r="24" spans="2:8" ht="15" customHeight="1">
      <c r="B24" s="24"/>
      <c r="C24" s="24"/>
      <c r="D24" s="24"/>
      <c r="E24" s="24"/>
      <c r="F24" s="24"/>
      <c r="G24" s="24"/>
      <c r="H24" s="24"/>
    </row>
    <row r="25" spans="2:8" ht="15" customHeight="1">
      <c r="B25" s="24"/>
      <c r="C25" s="24"/>
      <c r="D25" s="24"/>
      <c r="E25" s="24"/>
      <c r="F25" s="24"/>
      <c r="G25" s="24"/>
      <c r="H25" s="24"/>
    </row>
    <row r="26" spans="2:8" ht="15" customHeight="1">
      <c r="B26" s="24"/>
      <c r="C26" s="24"/>
      <c r="D26" s="24"/>
      <c r="E26" s="24"/>
      <c r="F26" s="24"/>
      <c r="G26" s="24"/>
      <c r="H26" s="24"/>
    </row>
    <row r="28" spans="2:8" ht="15" customHeight="1">
      <c r="B28" s="16" t="s">
        <v>162</v>
      </c>
      <c r="C28" s="16">
        <f>COUNTA(B6:B26)</f>
        <v>5</v>
      </c>
    </row>
    <row r="29" spans="2:8" ht="15" customHeight="1">
      <c r="B29" s="16" t="s">
        <v>163</v>
      </c>
      <c r="C29" s="16">
        <f>COUNTIF(D6:D26,"Formalized")+COUNTIF(D6:D26,"Remediated")</f>
        <v>1</v>
      </c>
    </row>
    <row r="30" spans="2:8" ht="15" customHeight="1">
      <c r="B30" s="16" t="s">
        <v>164</v>
      </c>
      <c r="C30" s="16">
        <f>SUM(E6:E26)</f>
        <v>285</v>
      </c>
    </row>
    <row r="31" spans="2:8" ht="15" customHeight="1">
      <c r="B31" s="16" t="s">
        <v>165</v>
      </c>
      <c r="C31" s="16">
        <f>SUM(F6:F26)</f>
        <v>85</v>
      </c>
    </row>
  </sheetData>
  <mergeCells count="2">
    <mergeCell ref="A2:G2"/>
    <mergeCell ref="B3:H3"/>
  </mergeCells>
  <dataValidations count="1">
    <dataValidation type="list" allowBlank="1" sqref="D7:D26" xr:uid="{00000000-0002-0000-0600-000000000000}">
      <formula1>"Active (Not Formalized),Partially Formalized,Formalized,Remediated"</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I30"/>
  <sheetViews>
    <sheetView showGridLines="0" zoomScaleNormal="100" workbookViewId="0">
      <pane xSplit="2" ySplit="6" topLeftCell="C7" activePane="bottomRight" state="frozen"/>
      <selection pane="bottomRight"/>
      <selection pane="bottomLeft" activeCell="A7" sqref="A7"/>
      <selection pane="topRight" activeCell="C1" sqref="C1"/>
    </sheetView>
  </sheetViews>
  <sheetFormatPr defaultColWidth="8.7109375" defaultRowHeight="15"/>
  <cols>
    <col min="1" max="1" width="3" customWidth="1"/>
    <col min="2" max="2" width="28" customWidth="1"/>
    <col min="3" max="3" width="16" customWidth="1"/>
    <col min="4" max="4" width="18" customWidth="1"/>
    <col min="5" max="5" width="14" customWidth="1"/>
    <col min="6" max="6" width="22" customWidth="1"/>
    <col min="7" max="7" width="20" customWidth="1"/>
    <col min="8" max="8" width="18" customWidth="1"/>
    <col min="9" max="9" width="30" customWidth="1"/>
  </cols>
  <sheetData>
    <row r="2" spans="1:9" ht="25.5" customHeight="1">
      <c r="A2" s="7" t="s">
        <v>166</v>
      </c>
      <c r="B2" s="7"/>
      <c r="C2" s="7"/>
      <c r="D2" s="7"/>
      <c r="E2" s="7"/>
      <c r="F2" s="7"/>
      <c r="G2" s="7"/>
      <c r="H2" s="7"/>
    </row>
    <row r="3" spans="1:9" ht="15" customHeight="1">
      <c r="B3" s="27" t="s">
        <v>167</v>
      </c>
      <c r="C3" s="27"/>
      <c r="D3" s="27"/>
      <c r="E3" s="27"/>
      <c r="F3" s="27"/>
      <c r="G3" s="27"/>
      <c r="H3" s="27"/>
      <c r="I3" s="27"/>
    </row>
    <row r="5" spans="1:9" ht="31.5" customHeight="1">
      <c r="B5" s="8" t="s">
        <v>168</v>
      </c>
      <c r="C5" s="8" t="s">
        <v>46</v>
      </c>
      <c r="D5" s="8" t="s">
        <v>169</v>
      </c>
      <c r="E5" s="8" t="s">
        <v>170</v>
      </c>
      <c r="F5" s="8" t="s">
        <v>171</v>
      </c>
      <c r="G5" s="8" t="s">
        <v>172</v>
      </c>
      <c r="H5" s="8" t="s">
        <v>173</v>
      </c>
      <c r="I5" s="8" t="s">
        <v>91</v>
      </c>
    </row>
    <row r="6" spans="1:9" ht="23.25" customHeight="1">
      <c r="B6" s="20" t="s">
        <v>153</v>
      </c>
      <c r="C6" s="20" t="s">
        <v>60</v>
      </c>
      <c r="D6" s="20" t="s">
        <v>174</v>
      </c>
      <c r="E6" s="20" t="s">
        <v>175</v>
      </c>
      <c r="F6" s="20" t="s">
        <v>176</v>
      </c>
      <c r="G6" s="20" t="s">
        <v>125</v>
      </c>
      <c r="H6" s="20">
        <v>180</v>
      </c>
      <c r="I6" s="20" t="s">
        <v>128</v>
      </c>
    </row>
    <row r="7" spans="1:9" ht="15" customHeight="1">
      <c r="B7" s="20" t="s">
        <v>156</v>
      </c>
      <c r="C7" s="20" t="s">
        <v>68</v>
      </c>
      <c r="D7" s="20" t="s">
        <v>177</v>
      </c>
      <c r="E7" s="20" t="s">
        <v>178</v>
      </c>
      <c r="F7" s="20" t="s">
        <v>179</v>
      </c>
      <c r="G7" s="20" t="s">
        <v>126</v>
      </c>
      <c r="H7" s="20">
        <v>0</v>
      </c>
      <c r="I7" s="20" t="s">
        <v>128</v>
      </c>
    </row>
    <row r="8" spans="1:9" ht="15" customHeight="1">
      <c r="B8" s="20" t="s">
        <v>158</v>
      </c>
      <c r="C8" s="20" t="s">
        <v>71</v>
      </c>
      <c r="D8" s="20" t="s">
        <v>180</v>
      </c>
      <c r="E8" s="20" t="s">
        <v>181</v>
      </c>
      <c r="F8" s="20" t="s">
        <v>182</v>
      </c>
      <c r="G8" s="20" t="s">
        <v>125</v>
      </c>
      <c r="H8" s="20">
        <v>140</v>
      </c>
      <c r="I8" s="20" t="s">
        <v>128</v>
      </c>
    </row>
    <row r="9" spans="1:9" ht="15" customHeight="1">
      <c r="B9" s="24"/>
      <c r="C9" s="24"/>
      <c r="D9" s="24"/>
      <c r="E9" s="24"/>
      <c r="F9" s="24"/>
      <c r="G9" s="24"/>
      <c r="H9" s="24"/>
      <c r="I9" s="24"/>
    </row>
    <row r="10" spans="1:9" ht="15" customHeight="1">
      <c r="B10" s="24"/>
      <c r="C10" s="24"/>
      <c r="D10" s="24"/>
      <c r="E10" s="24"/>
      <c r="F10" s="24"/>
      <c r="G10" s="24"/>
      <c r="H10" s="24"/>
      <c r="I10" s="24"/>
    </row>
    <row r="11" spans="1:9" ht="15" customHeight="1">
      <c r="B11" s="24"/>
      <c r="C11" s="24"/>
      <c r="D11" s="24"/>
      <c r="E11" s="24"/>
      <c r="F11" s="24"/>
      <c r="G11" s="24"/>
      <c r="H11" s="24"/>
      <c r="I11" s="24"/>
    </row>
    <row r="12" spans="1:9" ht="15" customHeight="1">
      <c r="B12" s="24"/>
      <c r="C12" s="24"/>
      <c r="D12" s="24"/>
      <c r="E12" s="24"/>
      <c r="F12" s="24"/>
      <c r="G12" s="24"/>
      <c r="H12" s="24"/>
      <c r="I12" s="24"/>
    </row>
    <row r="13" spans="1:9" ht="15" customHeight="1">
      <c r="B13" s="24"/>
      <c r="C13" s="24"/>
      <c r="D13" s="24"/>
      <c r="E13" s="24"/>
      <c r="F13" s="24"/>
      <c r="G13" s="24"/>
      <c r="H13" s="24"/>
      <c r="I13" s="24"/>
    </row>
    <row r="14" spans="1:9" ht="15" customHeight="1">
      <c r="B14" s="24"/>
      <c r="C14" s="24"/>
      <c r="D14" s="24"/>
      <c r="E14" s="24"/>
      <c r="F14" s="24"/>
      <c r="G14" s="24"/>
      <c r="H14" s="24"/>
      <c r="I14" s="24"/>
    </row>
    <row r="15" spans="1:9" ht="15" customHeight="1">
      <c r="B15" s="24"/>
      <c r="C15" s="24"/>
      <c r="D15" s="24"/>
      <c r="E15" s="24"/>
      <c r="F15" s="24"/>
      <c r="G15" s="24"/>
      <c r="H15" s="24"/>
      <c r="I15" s="24"/>
    </row>
    <row r="16" spans="1:9" ht="15" customHeight="1">
      <c r="B16" s="24"/>
      <c r="C16" s="24"/>
      <c r="D16" s="24"/>
      <c r="E16" s="24"/>
      <c r="F16" s="24"/>
      <c r="G16" s="24"/>
      <c r="H16" s="24"/>
      <c r="I16" s="24"/>
    </row>
    <row r="17" spans="2:9" ht="15" customHeight="1">
      <c r="B17" s="24"/>
      <c r="C17" s="24"/>
      <c r="D17" s="24"/>
      <c r="E17" s="24"/>
      <c r="F17" s="24"/>
      <c r="G17" s="24"/>
      <c r="H17" s="24"/>
      <c r="I17" s="24"/>
    </row>
    <row r="18" spans="2:9" ht="15" customHeight="1">
      <c r="B18" s="24"/>
      <c r="C18" s="24"/>
      <c r="D18" s="24"/>
      <c r="E18" s="24"/>
      <c r="F18" s="24"/>
      <c r="G18" s="24"/>
      <c r="H18" s="24"/>
      <c r="I18" s="24"/>
    </row>
    <row r="19" spans="2:9" ht="15" customHeight="1">
      <c r="B19" s="24"/>
      <c r="C19" s="24"/>
      <c r="D19" s="24"/>
      <c r="E19" s="24"/>
      <c r="F19" s="24"/>
      <c r="G19" s="24"/>
      <c r="H19" s="24"/>
      <c r="I19" s="24"/>
    </row>
    <row r="20" spans="2:9" ht="15" customHeight="1">
      <c r="B20" s="24"/>
      <c r="C20" s="24"/>
      <c r="D20" s="24"/>
      <c r="E20" s="24"/>
      <c r="F20" s="24"/>
      <c r="G20" s="24"/>
      <c r="H20" s="24"/>
      <c r="I20" s="24"/>
    </row>
    <row r="21" spans="2:9" ht="15" customHeight="1">
      <c r="B21" s="24"/>
      <c r="C21" s="24"/>
      <c r="D21" s="24"/>
      <c r="E21" s="24"/>
      <c r="F21" s="24"/>
      <c r="G21" s="24"/>
      <c r="H21" s="24"/>
      <c r="I21" s="24"/>
    </row>
    <row r="22" spans="2:9" ht="15" customHeight="1">
      <c r="B22" s="24"/>
      <c r="C22" s="24"/>
      <c r="D22" s="24"/>
      <c r="E22" s="24"/>
      <c r="F22" s="24"/>
      <c r="G22" s="24"/>
      <c r="H22" s="24"/>
      <c r="I22" s="24"/>
    </row>
    <row r="23" spans="2:9" ht="15" customHeight="1">
      <c r="B23" s="24"/>
      <c r="C23" s="24"/>
      <c r="D23" s="24"/>
      <c r="E23" s="24"/>
      <c r="F23" s="24"/>
      <c r="G23" s="24"/>
      <c r="H23" s="24"/>
      <c r="I23" s="24"/>
    </row>
    <row r="24" spans="2:9" ht="15" customHeight="1">
      <c r="B24" s="24"/>
      <c r="C24" s="24"/>
      <c r="D24" s="24"/>
      <c r="E24" s="24"/>
      <c r="F24" s="24"/>
      <c r="G24" s="24"/>
      <c r="H24" s="24"/>
      <c r="I24" s="24"/>
    </row>
    <row r="25" spans="2:9" ht="15" customHeight="1">
      <c r="B25" s="24"/>
      <c r="C25" s="24"/>
      <c r="D25" s="24"/>
      <c r="E25" s="24"/>
      <c r="F25" s="24"/>
      <c r="G25" s="24"/>
      <c r="H25" s="24"/>
      <c r="I25" s="24"/>
    </row>
    <row r="26" spans="2:9" ht="15" customHeight="1">
      <c r="B26" s="24"/>
      <c r="C26" s="24"/>
      <c r="D26" s="24"/>
      <c r="E26" s="24"/>
      <c r="F26" s="24"/>
      <c r="G26" s="24"/>
      <c r="H26" s="24"/>
      <c r="I26" s="24"/>
    </row>
    <row r="28" spans="2:9" ht="15" customHeight="1">
      <c r="B28" s="16" t="s">
        <v>183</v>
      </c>
      <c r="C28" s="16">
        <f>SUMPRODUCT((B6:B26&lt;&gt;"")/COUNTIF(B6:B26,B6:B26&amp;""))</f>
        <v>3</v>
      </c>
    </row>
    <row r="29" spans="2:9" ht="15" customHeight="1">
      <c r="B29" s="16" t="s">
        <v>184</v>
      </c>
      <c r="C29" s="16">
        <f>COUNTIF(F6:F26,"Yes")</f>
        <v>0</v>
      </c>
    </row>
    <row r="30" spans="2:9" ht="15" customHeight="1">
      <c r="B30" s="16" t="s">
        <v>185</v>
      </c>
      <c r="C30" s="16">
        <f>SUM(G6:G26)</f>
        <v>0</v>
      </c>
    </row>
  </sheetData>
  <mergeCells count="2">
    <mergeCell ref="A2:H2"/>
    <mergeCell ref="B3:I3"/>
  </mergeCells>
  <dataValidations count="3">
    <dataValidation type="list" allowBlank="1" sqref="D7:D26" xr:uid="{00000000-0002-0000-0700-000000000000}">
      <formula1>"Soil,Water,Air,Soil + Water,Soil + Water + Air"</formula1>
      <formula2>0</formula2>
    </dataValidation>
    <dataValidation type="list" allowBlank="1" sqref="E7:E26" xr:uid="{00000000-0002-0000-0700-000001000000}">
      <formula1>"Within Limit,Exceeds Limit,Pending Analysis"</formula1>
      <formula2>0</formula2>
    </dataValidation>
    <dataValidation type="list" allowBlank="1" sqref="F7:F26" xr:uid="{00000000-0002-0000-0700-000002000000}">
      <formula1>"Yes,No"</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G30"/>
  <sheetViews>
    <sheetView showGridLines="0" zoomScaleNormal="100" workbookViewId="0">
      <pane xSplit="2" ySplit="6" topLeftCell="C7" activePane="bottomRight" state="frozen"/>
      <selection pane="bottomRight"/>
      <selection pane="bottomLeft" activeCell="A7" sqref="A7"/>
      <selection pane="topRight" activeCell="C1" sqref="C1"/>
    </sheetView>
  </sheetViews>
  <sheetFormatPr defaultColWidth="8.7109375" defaultRowHeight="15"/>
  <cols>
    <col min="1" max="1" width="3" customWidth="1"/>
    <col min="2" max="2" width="30" customWidth="1"/>
    <col min="3" max="4" width="16" customWidth="1"/>
    <col min="5" max="6" width="22" customWidth="1"/>
    <col min="7" max="7" width="20" customWidth="1"/>
  </cols>
  <sheetData>
    <row r="2" spans="1:7" ht="25.5" customHeight="1">
      <c r="A2" s="7" t="s">
        <v>186</v>
      </c>
      <c r="B2" s="7"/>
      <c r="C2" s="7"/>
      <c r="D2" s="7"/>
      <c r="E2" s="7"/>
      <c r="F2" s="7"/>
    </row>
    <row r="3" spans="1:7" ht="15" customHeight="1">
      <c r="B3" s="27" t="s">
        <v>187</v>
      </c>
      <c r="C3" s="27"/>
      <c r="D3" s="27"/>
      <c r="E3" s="27"/>
      <c r="F3" s="27"/>
      <c r="G3" s="27"/>
    </row>
    <row r="5" spans="1:7" ht="31.5" customHeight="1">
      <c r="B5" s="8" t="s">
        <v>188</v>
      </c>
      <c r="C5" s="8" t="s">
        <v>46</v>
      </c>
      <c r="D5" s="8" t="s">
        <v>170</v>
      </c>
      <c r="E5" s="8" t="s">
        <v>189</v>
      </c>
      <c r="F5" s="8" t="s">
        <v>190</v>
      </c>
      <c r="G5" s="8" t="s">
        <v>191</v>
      </c>
    </row>
    <row r="6" spans="1:7" ht="15" customHeight="1">
      <c r="B6" s="20" t="s">
        <v>192</v>
      </c>
      <c r="C6" s="20" t="s">
        <v>60</v>
      </c>
      <c r="D6" s="20" t="s">
        <v>193</v>
      </c>
      <c r="E6" s="20" t="s">
        <v>194</v>
      </c>
      <c r="F6" s="20" t="s">
        <v>195</v>
      </c>
      <c r="G6" s="20">
        <v>950</v>
      </c>
    </row>
    <row r="7" spans="1:7" ht="15" customHeight="1">
      <c r="B7" s="20" t="s">
        <v>196</v>
      </c>
      <c r="C7" s="20" t="s">
        <v>68</v>
      </c>
      <c r="D7" s="20" t="s">
        <v>197</v>
      </c>
      <c r="E7" s="20" t="s">
        <v>198</v>
      </c>
      <c r="F7" s="20" t="s">
        <v>199</v>
      </c>
      <c r="G7" s="20">
        <v>600</v>
      </c>
    </row>
    <row r="8" spans="1:7" ht="15" customHeight="1">
      <c r="B8" s="20" t="s">
        <v>200</v>
      </c>
      <c r="C8" s="20" t="s">
        <v>71</v>
      </c>
      <c r="D8" s="20" t="s">
        <v>201</v>
      </c>
      <c r="E8" s="20" t="s">
        <v>202</v>
      </c>
      <c r="F8" s="20" t="s">
        <v>203</v>
      </c>
      <c r="G8" s="20">
        <v>400</v>
      </c>
    </row>
    <row r="9" spans="1:7" ht="15" customHeight="1">
      <c r="B9" s="20" t="s">
        <v>204</v>
      </c>
      <c r="C9" s="20" t="s">
        <v>75</v>
      </c>
      <c r="D9" s="20" t="s">
        <v>205</v>
      </c>
      <c r="E9" s="20" t="s">
        <v>206</v>
      </c>
      <c r="F9" s="20" t="s">
        <v>207</v>
      </c>
      <c r="G9" s="20">
        <v>700</v>
      </c>
    </row>
    <row r="10" spans="1:7" ht="15" customHeight="1">
      <c r="B10" s="24"/>
      <c r="C10" s="24"/>
      <c r="D10" s="24"/>
      <c r="E10" s="24"/>
      <c r="F10" s="24"/>
      <c r="G10" s="24"/>
    </row>
    <row r="11" spans="1:7" ht="15" customHeight="1">
      <c r="B11" s="24"/>
      <c r="C11" s="24"/>
      <c r="D11" s="24"/>
      <c r="E11" s="24"/>
      <c r="F11" s="24"/>
      <c r="G11" s="24"/>
    </row>
    <row r="12" spans="1:7" ht="15" customHeight="1">
      <c r="B12" s="24"/>
      <c r="C12" s="24"/>
      <c r="D12" s="24"/>
      <c r="E12" s="24"/>
      <c r="F12" s="24"/>
      <c r="G12" s="24"/>
    </row>
    <row r="13" spans="1:7" ht="15" customHeight="1">
      <c r="B13" s="24"/>
      <c r="C13" s="24"/>
      <c r="D13" s="24"/>
      <c r="E13" s="24"/>
      <c r="F13" s="24"/>
      <c r="G13" s="24"/>
    </row>
    <row r="14" spans="1:7" ht="15" customHeight="1">
      <c r="B14" s="24"/>
      <c r="C14" s="24"/>
      <c r="D14" s="24"/>
      <c r="E14" s="24"/>
      <c r="F14" s="24"/>
      <c r="G14" s="24"/>
    </row>
    <row r="15" spans="1:7" ht="15" customHeight="1">
      <c r="B15" s="24"/>
      <c r="C15" s="24"/>
      <c r="D15" s="24"/>
      <c r="E15" s="24"/>
      <c r="F15" s="24"/>
      <c r="G15" s="24"/>
    </row>
    <row r="16" spans="1:7" ht="15" customHeight="1">
      <c r="B16" s="24"/>
      <c r="C16" s="24"/>
      <c r="D16" s="24"/>
      <c r="E16" s="24"/>
      <c r="F16" s="24"/>
      <c r="G16" s="24"/>
    </row>
    <row r="17" spans="2:7" ht="15" customHeight="1">
      <c r="B17" s="24"/>
      <c r="C17" s="24"/>
      <c r="D17" s="24"/>
      <c r="E17" s="24"/>
      <c r="F17" s="24"/>
      <c r="G17" s="24"/>
    </row>
    <row r="18" spans="2:7" ht="15" customHeight="1">
      <c r="B18" s="24"/>
      <c r="C18" s="24"/>
      <c r="D18" s="24"/>
      <c r="E18" s="24"/>
      <c r="F18" s="24"/>
      <c r="G18" s="24"/>
    </row>
    <row r="19" spans="2:7" ht="15" customHeight="1">
      <c r="B19" s="24"/>
      <c r="C19" s="24"/>
      <c r="D19" s="24"/>
      <c r="E19" s="24"/>
      <c r="F19" s="24"/>
      <c r="G19" s="24"/>
    </row>
    <row r="20" spans="2:7" ht="15" customHeight="1">
      <c r="B20" s="24"/>
      <c r="C20" s="24"/>
      <c r="D20" s="24"/>
      <c r="E20" s="24"/>
      <c r="F20" s="24"/>
      <c r="G20" s="24"/>
    </row>
    <row r="21" spans="2:7" ht="15" customHeight="1">
      <c r="B21" s="24"/>
      <c r="C21" s="24"/>
      <c r="D21" s="24"/>
      <c r="E21" s="24"/>
      <c r="F21" s="24"/>
      <c r="G21" s="24"/>
    </row>
    <row r="22" spans="2:7" ht="15" customHeight="1">
      <c r="B22" s="24"/>
      <c r="C22" s="24"/>
      <c r="D22" s="24"/>
      <c r="E22" s="24"/>
      <c r="F22" s="24"/>
      <c r="G22" s="24"/>
    </row>
    <row r="23" spans="2:7" ht="15" customHeight="1">
      <c r="B23" s="24"/>
      <c r="C23" s="24"/>
      <c r="D23" s="24"/>
      <c r="E23" s="24"/>
      <c r="F23" s="24"/>
      <c r="G23" s="24"/>
    </row>
    <row r="24" spans="2:7" ht="15" customHeight="1">
      <c r="B24" s="24"/>
      <c r="C24" s="24"/>
      <c r="D24" s="24"/>
      <c r="E24" s="24"/>
      <c r="F24" s="24"/>
      <c r="G24" s="24"/>
    </row>
    <row r="25" spans="2:7" ht="15" customHeight="1">
      <c r="B25" s="24"/>
      <c r="C25" s="24"/>
      <c r="D25" s="24"/>
      <c r="E25" s="24"/>
      <c r="F25" s="24"/>
      <c r="G25" s="24"/>
    </row>
    <row r="26" spans="2:7" ht="15" customHeight="1">
      <c r="B26" s="24"/>
      <c r="C26" s="24"/>
      <c r="D26" s="24"/>
      <c r="E26" s="24"/>
      <c r="F26" s="24"/>
      <c r="G26" s="24"/>
    </row>
    <row r="28" spans="2:7" ht="15" customHeight="1">
      <c r="B28" s="16" t="s">
        <v>208</v>
      </c>
      <c r="C28" s="16">
        <f>COUNTA(B6:B26)</f>
        <v>4</v>
      </c>
    </row>
    <row r="29" spans="2:7" ht="15" customHeight="1">
      <c r="B29" s="16" t="s">
        <v>209</v>
      </c>
      <c r="C29" s="16">
        <f>COUNTIF(D6:D26,"School Collection Drive")+COUNTIF(D6:D26,"RWA/Community Drive")</f>
        <v>0</v>
      </c>
    </row>
    <row r="30" spans="2:7" ht="15" customHeight="1">
      <c r="B30" s="16" t="s">
        <v>210</v>
      </c>
      <c r="C30" s="16">
        <f>SUM(F6:F26)</f>
        <v>0</v>
      </c>
    </row>
  </sheetData>
  <mergeCells count="2">
    <mergeCell ref="A2:F2"/>
    <mergeCell ref="B3:G3"/>
  </mergeCells>
  <dataValidations count="1">
    <dataValidation type="list" allowBlank="1" sqref="D7:D26" xr:uid="{00000000-0002-0000-0800-000000000000}">
      <formula1>"Awareness Campaign,School Collection Drive,RWA/Community Drive,Industry Outreach,Media Campaign"</formula1>
      <formula2>0</formula2>
    </dataValidation>
  </dataValidations>
  <pageMargins left="0.75" right="0.75" top="1" bottom="1" header="0.511811023622047" footer="0.511811023622047"/>
  <pageSetup paperSize="9" orientation="portrait" horizontalDpi="300" verticalDpi="30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49d017b-ac22-4c0b-a7a4-c8b9eca6cd70">
      <Terms xmlns="http://schemas.microsoft.com/office/infopath/2007/PartnerControls"/>
    </lcf76f155ced4ddcb4097134ff3c332f>
    <TaxCatchAll xmlns="e0d206d7-ee7c-42da-b133-6e7342787b39" xsi:nil="true"/>
    <ReferenceId xmlns="c49d017b-ac22-4c0b-a7a4-c8b9eca6cd7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9E45BCADE012848BADD84F0F5519C36" ma:contentTypeVersion="13" ma:contentTypeDescription="Create a new document." ma:contentTypeScope="" ma:versionID="749d6923f222eb45ac0dc6063575a178">
  <xsd:schema xmlns:xsd="http://www.w3.org/2001/XMLSchema" xmlns:xs="http://www.w3.org/2001/XMLSchema" xmlns:p="http://schemas.microsoft.com/office/2006/metadata/properties" xmlns:ns2="c49d017b-ac22-4c0b-a7a4-c8b9eca6cd70" xmlns:ns3="e0d206d7-ee7c-42da-b133-6e7342787b39" targetNamespace="http://schemas.microsoft.com/office/2006/metadata/properties" ma:root="true" ma:fieldsID="e99e7a50f06ef0e0bf1d9a36c1212498" ns2:_="" ns3:_="">
    <xsd:import namespace="c49d017b-ac22-4c0b-a7a4-c8b9eca6cd70"/>
    <xsd:import namespace="e0d206d7-ee7c-42da-b133-6e7342787b39"/>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9d017b-ac22-4c0b-a7a4-c8b9eca6cd70"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5c09e8c-4242-4efc-8aa0-958213fa9c5a"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0d206d7-ee7c-42da-b133-6e7342787b3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35d6c0a8-0dd6-40f9-b8c8-aca075772b73}" ma:internalName="TaxCatchAll" ma:showField="CatchAllData" ma:web="e0d206d7-ee7c-42da-b133-6e7342787b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987354-C519-4166-9F9C-77626731F0C5}"/>
</file>

<file path=customXml/itemProps2.xml><?xml version="1.0" encoding="utf-8"?>
<ds:datastoreItem xmlns:ds="http://schemas.openxmlformats.org/officeDocument/2006/customXml" ds:itemID="{BBBF52FD-4BE1-4449-9DB6-66F50856863F}"/>
</file>

<file path=customXml/itemProps3.xml><?xml version="1.0" encoding="utf-8"?>
<ds:datastoreItem xmlns:ds="http://schemas.openxmlformats.org/officeDocument/2006/customXml" ds:itemID="{073F901D-4F0E-481D-AFE0-C51A8A19A0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Pawar</cp:lastModifiedBy>
  <cp:revision>0</cp:revision>
  <dcterms:created xsi:type="dcterms:W3CDTF">2026-07-16T04:20:02Z</dcterms:created>
  <dcterms:modified xsi:type="dcterms:W3CDTF">2026-07-23T17:48:40Z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0x01010029E45BCADE012848BADD84F0F5519C36</vt:lpwstr>
  </property>
  <property fmtid="{D5CDD505-2E9C-101B-9397-08002B2CF9AE}" pid="3" name="MediaServiceImageTags">
    <vt:lpwstr/>
  </property>
</Properties>
</file>